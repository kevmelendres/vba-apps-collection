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ownloads\VBA Projects\VBA Projects\"/>
    </mc:Choice>
  </mc:AlternateContent>
  <bookViews>
    <workbookView xWindow="0" yWindow="0" windowWidth="11970" windowHeight="4755"/>
  </bookViews>
  <sheets>
    <sheet name="SUMMARY" sheetId="3" r:id="rId1"/>
    <sheet name="SPREADSHEET" sheetId="5" r:id="rId2"/>
    <sheet name="SORTED SHEAR" sheetId="6" r:id="rId3"/>
    <sheet name="STORY DEFINITIONS" sheetId="7" r:id="rId4"/>
  </sheets>
  <externalReferences>
    <externalReference r:id="rId5"/>
  </externalReferences>
  <definedNames>
    <definedName name="_xlnm._FilterDatabase" localSheetId="2" hidden="1">'SORTED SHEAR'!$A$2:$C$568</definedName>
    <definedName name="_xlnm._FilterDatabase" localSheetId="0" hidden="1">SUMMARY!$A$8:$CB$168</definedName>
    <definedName name="BUS">[1]SRCCB!$Z$46:$AB$53</definedName>
    <definedName name="DEVLENGTHS">[1]PARAMETERS!$O$4:$Q$179</definedName>
    <definedName name="fcefactor">[1]SRCCB!$W$31:$X$53</definedName>
    <definedName name="HOOKS">[1]PARAMETERS!$B$4:$H$13</definedName>
    <definedName name="HRS">[1]SRCCB!$Z$32:$AB$42</definedName>
    <definedName name="NegativeLookup">IF([1]SRCCB!$W$129=[1]CASES!$A$11, [1]CASES!$B$11, IF([1]SRCCB!$W$129=[1]CASES!$A$12, [1]CASES!$B$12, IF([1]SRCCB!$W$129=[1]CASES!$A$13, [1]CASES!$B$13, IF([1]SRCCB!$W$129=[1]CASES!$A$14, [1]CASES!$B$14, IF([1]SRCCB!$W$129=[1]CASES!$A$15, [1]CASES!$B$15, IF([1]SRCCB!$W$129=[1]CASES!$A$16, [1]CASES!$B$16))))))</definedName>
    <definedName name="PositiveLookup">IF([1]SRCCB!$W$107=[1]CASES!$A$1, [1]CASES!$B$1, IF([1]SRCCB!$W$107=[1]CASES!$A$2, [1]CASES!$B$2, IF([1]SRCCB!$W$107=[1]CASES!$A$3, [1]CASES!$B$3, IF([1]SRCCB!$W$107=[1]CASES!$A$4, [1]CASES!$B$4, IF([1]SRCCB!$W$107=[1]CASES!$A$5, [1]CASES!$B$5, IF([1]SRCCB!$W$107=[1]CASES!$A$6, [1]CASES!$B$6))))))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3" i="5" l="1"/>
  <c r="O72" i="5"/>
  <c r="O71" i="5"/>
  <c r="O70" i="5"/>
  <c r="O69" i="5"/>
  <c r="O68" i="5"/>
  <c r="O65" i="5"/>
  <c r="O64" i="5"/>
  <c r="O63" i="5"/>
  <c r="Q62" i="5"/>
  <c r="O62" i="5"/>
  <c r="Q61" i="5"/>
  <c r="O61" i="5"/>
  <c r="O54" i="5"/>
  <c r="O53" i="5"/>
  <c r="O52" i="5"/>
  <c r="Q51" i="5"/>
  <c r="O51" i="5"/>
  <c r="Q50" i="5"/>
  <c r="O50" i="5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A168" i="3" l="1"/>
  <c r="C168" i="3" s="1"/>
  <c r="A167" i="3"/>
  <c r="C167" i="3" s="1"/>
  <c r="A166" i="3"/>
  <c r="C166" i="3" s="1"/>
  <c r="A165" i="3"/>
  <c r="C165" i="3" s="1"/>
  <c r="A164" i="3"/>
  <c r="C164" i="3" s="1"/>
  <c r="A163" i="3"/>
  <c r="C163" i="3" s="1"/>
  <c r="A162" i="3"/>
  <c r="C162" i="3" s="1"/>
  <c r="A161" i="3"/>
  <c r="C161" i="3" s="1"/>
  <c r="A160" i="3"/>
  <c r="C160" i="3" s="1"/>
  <c r="A159" i="3"/>
  <c r="C159" i="3" s="1"/>
  <c r="A158" i="3"/>
  <c r="C158" i="3" s="1"/>
  <c r="A157" i="3"/>
  <c r="C157" i="3" s="1"/>
  <c r="A156" i="3"/>
  <c r="C156" i="3" s="1"/>
  <c r="A155" i="3"/>
  <c r="C155" i="3" s="1"/>
  <c r="A154" i="3"/>
  <c r="C154" i="3" s="1"/>
  <c r="C153" i="3"/>
  <c r="A152" i="3"/>
  <c r="C152" i="3" s="1"/>
  <c r="A151" i="3"/>
  <c r="C151" i="3" s="1"/>
  <c r="A150" i="3"/>
  <c r="C150" i="3" s="1"/>
  <c r="A149" i="3"/>
  <c r="C149" i="3" s="1"/>
  <c r="A148" i="3"/>
  <c r="C148" i="3" s="1"/>
  <c r="A147" i="3"/>
  <c r="C147" i="3" s="1"/>
  <c r="A146" i="3"/>
  <c r="C146" i="3" s="1"/>
  <c r="A145" i="3"/>
  <c r="C145" i="3" s="1"/>
  <c r="A144" i="3"/>
  <c r="C144" i="3" s="1"/>
  <c r="A143" i="3"/>
  <c r="C143" i="3" s="1"/>
  <c r="A142" i="3"/>
  <c r="C142" i="3" s="1"/>
  <c r="A141" i="3"/>
  <c r="C141" i="3" s="1"/>
  <c r="A140" i="3"/>
  <c r="C140" i="3" s="1"/>
  <c r="A139" i="3"/>
  <c r="C139" i="3" s="1"/>
  <c r="A138" i="3"/>
  <c r="C138" i="3" s="1"/>
  <c r="C137" i="3"/>
  <c r="A136" i="3" l="1"/>
  <c r="C136" i="3" s="1"/>
  <c r="A135" i="3"/>
  <c r="C135" i="3" s="1"/>
  <c r="A134" i="3"/>
  <c r="C134" i="3" s="1"/>
  <c r="A133" i="3"/>
  <c r="C133" i="3" s="1"/>
  <c r="A132" i="3"/>
  <c r="C132" i="3" s="1"/>
  <c r="A131" i="3"/>
  <c r="C131" i="3" s="1"/>
  <c r="A130" i="3"/>
  <c r="C130" i="3" s="1"/>
  <c r="A129" i="3"/>
  <c r="C129" i="3" s="1"/>
  <c r="A128" i="3"/>
  <c r="C128" i="3" s="1"/>
  <c r="A127" i="3"/>
  <c r="C127" i="3" s="1"/>
  <c r="A126" i="3"/>
  <c r="C126" i="3" s="1"/>
  <c r="A125" i="3"/>
  <c r="C125" i="3" s="1"/>
  <c r="A124" i="3"/>
  <c r="C124" i="3" s="1"/>
  <c r="A123" i="3"/>
  <c r="C123" i="3" s="1"/>
  <c r="A122" i="3"/>
  <c r="C122" i="3" s="1"/>
  <c r="C121" i="3"/>
  <c r="A120" i="3"/>
  <c r="C120" i="3" s="1"/>
  <c r="A119" i="3"/>
  <c r="C119" i="3" s="1"/>
  <c r="A118" i="3"/>
  <c r="C118" i="3" s="1"/>
  <c r="A117" i="3"/>
  <c r="C117" i="3" s="1"/>
  <c r="A116" i="3"/>
  <c r="C116" i="3" s="1"/>
  <c r="A115" i="3"/>
  <c r="C115" i="3" s="1"/>
  <c r="A114" i="3"/>
  <c r="C114" i="3" s="1"/>
  <c r="A113" i="3"/>
  <c r="C113" i="3" s="1"/>
  <c r="A112" i="3"/>
  <c r="C112" i="3" s="1"/>
  <c r="A111" i="3"/>
  <c r="C111" i="3" s="1"/>
  <c r="A110" i="3"/>
  <c r="C110" i="3" s="1"/>
  <c r="A109" i="3"/>
  <c r="C109" i="3" s="1"/>
  <c r="A108" i="3"/>
  <c r="C108" i="3" s="1"/>
  <c r="A107" i="3"/>
  <c r="C107" i="3" s="1"/>
  <c r="A106" i="3"/>
  <c r="C106" i="3" s="1"/>
  <c r="C105" i="3"/>
  <c r="A104" i="3"/>
  <c r="C104" i="3" s="1"/>
  <c r="A103" i="3"/>
  <c r="C103" i="3" s="1"/>
  <c r="A102" i="3"/>
  <c r="C102" i="3" s="1"/>
  <c r="A101" i="3"/>
  <c r="C101" i="3" s="1"/>
  <c r="A100" i="3"/>
  <c r="C100" i="3" s="1"/>
  <c r="A99" i="3"/>
  <c r="C99" i="3" s="1"/>
  <c r="A98" i="3"/>
  <c r="C98" i="3" s="1"/>
  <c r="A97" i="3"/>
  <c r="C97" i="3" s="1"/>
  <c r="A96" i="3"/>
  <c r="C96" i="3" s="1"/>
  <c r="A95" i="3"/>
  <c r="C95" i="3" s="1"/>
  <c r="A94" i="3"/>
  <c r="C94" i="3" s="1"/>
  <c r="A93" i="3"/>
  <c r="C93" i="3" s="1"/>
  <c r="A92" i="3"/>
  <c r="C92" i="3" s="1"/>
  <c r="A91" i="3"/>
  <c r="C91" i="3" s="1"/>
  <c r="A90" i="3"/>
  <c r="C90" i="3" s="1"/>
  <c r="C89" i="3"/>
  <c r="A88" i="3" l="1"/>
  <c r="C88" i="3" s="1"/>
  <c r="A87" i="3"/>
  <c r="C87" i="3" s="1"/>
  <c r="A86" i="3"/>
  <c r="C86" i="3" s="1"/>
  <c r="A85" i="3"/>
  <c r="C85" i="3" s="1"/>
  <c r="A84" i="3"/>
  <c r="C84" i="3" s="1"/>
  <c r="A83" i="3"/>
  <c r="C83" i="3" s="1"/>
  <c r="A82" i="3"/>
  <c r="C82" i="3" s="1"/>
  <c r="A81" i="3"/>
  <c r="C81" i="3" s="1"/>
  <c r="A80" i="3"/>
  <c r="C80" i="3" s="1"/>
  <c r="A79" i="3"/>
  <c r="C79" i="3" s="1"/>
  <c r="A78" i="3"/>
  <c r="C78" i="3" s="1"/>
  <c r="A77" i="3"/>
  <c r="C77" i="3" s="1"/>
  <c r="A76" i="3"/>
  <c r="C76" i="3" s="1"/>
  <c r="A75" i="3"/>
  <c r="C75" i="3" s="1"/>
  <c r="A74" i="3"/>
  <c r="C74" i="3" s="1"/>
  <c r="C73" i="3"/>
  <c r="O6" i="5" l="1"/>
  <c r="W105" i="5"/>
  <c r="T92" i="5"/>
  <c r="T91" i="5"/>
  <c r="A72" i="3"/>
  <c r="C72" i="3" s="1"/>
  <c r="A71" i="3"/>
  <c r="C71" i="3" s="1"/>
  <c r="A70" i="3"/>
  <c r="C70" i="3" s="1"/>
  <c r="A69" i="3"/>
  <c r="C69" i="3" s="1"/>
  <c r="A68" i="3"/>
  <c r="C68" i="3" s="1"/>
  <c r="A67" i="3"/>
  <c r="C67" i="3" s="1"/>
  <c r="A66" i="3"/>
  <c r="C66" i="3" s="1"/>
  <c r="A65" i="3"/>
  <c r="C65" i="3" s="1"/>
  <c r="A64" i="3"/>
  <c r="C64" i="3" s="1"/>
  <c r="A63" i="3"/>
  <c r="C63" i="3" s="1"/>
  <c r="A62" i="3"/>
  <c r="C62" i="3" s="1"/>
  <c r="A61" i="3"/>
  <c r="C61" i="3" s="1"/>
  <c r="A60" i="3"/>
  <c r="C60" i="3" s="1"/>
  <c r="A59" i="3"/>
  <c r="C59" i="3" s="1"/>
  <c r="A58" i="3"/>
  <c r="C58" i="3" s="1"/>
  <c r="C57" i="3"/>
  <c r="C41" i="3"/>
  <c r="A56" i="3"/>
  <c r="C56" i="3" s="1"/>
  <c r="A55" i="3"/>
  <c r="C55" i="3" s="1"/>
  <c r="A54" i="3"/>
  <c r="C54" i="3" s="1"/>
  <c r="A53" i="3"/>
  <c r="C53" i="3" s="1"/>
  <c r="A52" i="3"/>
  <c r="C52" i="3" s="1"/>
  <c r="A51" i="3"/>
  <c r="C51" i="3" s="1"/>
  <c r="A50" i="3"/>
  <c r="C50" i="3" s="1"/>
  <c r="A49" i="3"/>
  <c r="C49" i="3" s="1"/>
  <c r="A48" i="3"/>
  <c r="C48" i="3" s="1"/>
  <c r="A47" i="3"/>
  <c r="C47" i="3" s="1"/>
  <c r="A46" i="3"/>
  <c r="C46" i="3" s="1"/>
  <c r="A45" i="3"/>
  <c r="C45" i="3" s="1"/>
  <c r="A44" i="3"/>
  <c r="C44" i="3" s="1"/>
  <c r="A43" i="3"/>
  <c r="C43" i="3" s="1"/>
  <c r="A42" i="3"/>
  <c r="C42" i="3" s="1"/>
  <c r="U105" i="5" l="1"/>
  <c r="V105" i="5"/>
  <c r="W99" i="5"/>
  <c r="V99" i="5" l="1"/>
  <c r="O99" i="5"/>
  <c r="O101" i="5" s="1"/>
  <c r="U99" i="5"/>
  <c r="O126" i="5"/>
  <c r="O124" i="5"/>
  <c r="O120" i="5"/>
  <c r="O111" i="5"/>
  <c r="V126" i="5" s="1"/>
  <c r="O105" i="5"/>
  <c r="V88" i="5" s="1"/>
  <c r="Q104" i="5"/>
  <c r="O104" i="5"/>
  <c r="Q98" i="5"/>
  <c r="O98" i="5"/>
  <c r="O92" i="5"/>
  <c r="O91" i="5"/>
  <c r="V89" i="5"/>
  <c r="U89" i="5"/>
  <c r="V87" i="5"/>
  <c r="U87" i="5"/>
  <c r="O106" i="5"/>
  <c r="U37" i="5"/>
  <c r="Q100" i="5"/>
  <c r="U16" i="5"/>
  <c r="A40" i="3"/>
  <c r="C40" i="3" s="1"/>
  <c r="A39" i="3"/>
  <c r="C39" i="3" s="1"/>
  <c r="A38" i="3"/>
  <c r="C38" i="3" s="1"/>
  <c r="A37" i="3"/>
  <c r="C37" i="3" s="1"/>
  <c r="A36" i="3"/>
  <c r="C36" i="3" s="1"/>
  <c r="A35" i="3"/>
  <c r="C35" i="3" s="1"/>
  <c r="A34" i="3"/>
  <c r="C34" i="3" s="1"/>
  <c r="A33" i="3"/>
  <c r="C33" i="3" s="1"/>
  <c r="A32" i="3"/>
  <c r="C32" i="3" s="1"/>
  <c r="A31" i="3"/>
  <c r="C31" i="3" s="1"/>
  <c r="A30" i="3"/>
  <c r="C30" i="3" s="1"/>
  <c r="A29" i="3"/>
  <c r="C29" i="3" s="1"/>
  <c r="A28" i="3"/>
  <c r="C28" i="3" s="1"/>
  <c r="A27" i="3"/>
  <c r="C27" i="3" s="1"/>
  <c r="A26" i="3"/>
  <c r="C26" i="3" s="1"/>
  <c r="C25" i="3"/>
  <c r="A24" i="3"/>
  <c r="C24" i="3" s="1"/>
  <c r="A23" i="3"/>
  <c r="C23" i="3" s="1"/>
  <c r="A22" i="3"/>
  <c r="C22" i="3" s="1"/>
  <c r="A21" i="3"/>
  <c r="C21" i="3" s="1"/>
  <c r="A20" i="3"/>
  <c r="C20" i="3" s="1"/>
  <c r="A19" i="3"/>
  <c r="C19" i="3" s="1"/>
  <c r="A18" i="3"/>
  <c r="C18" i="3" s="1"/>
  <c r="A17" i="3"/>
  <c r="C17" i="3" s="1"/>
  <c r="A16" i="3"/>
  <c r="C16" i="3" s="1"/>
  <c r="A15" i="3"/>
  <c r="C15" i="3" s="1"/>
  <c r="A14" i="3"/>
  <c r="C14" i="3" s="1"/>
  <c r="A13" i="3"/>
  <c r="C13" i="3" s="1"/>
  <c r="A12" i="3"/>
  <c r="C12" i="3" s="1"/>
  <c r="A11" i="3"/>
  <c r="C11" i="3" s="1"/>
  <c r="A10" i="3"/>
  <c r="C10" i="3" s="1"/>
  <c r="C9" i="3"/>
  <c r="U88" i="5" l="1"/>
  <c r="O88" i="5" s="1"/>
  <c r="T88" i="5" s="1"/>
  <c r="Q81" i="5"/>
  <c r="O89" i="5"/>
  <c r="T89" i="5" s="1"/>
  <c r="O107" i="5"/>
  <c r="V90" i="5" s="1"/>
  <c r="O82" i="5"/>
  <c r="O87" i="5"/>
  <c r="T87" i="5" s="1"/>
  <c r="V125" i="5"/>
  <c r="U90" i="5"/>
  <c r="Q106" i="5"/>
  <c r="Q82" i="5" s="1"/>
  <c r="U93" i="5"/>
  <c r="V93" i="5"/>
  <c r="O100" i="5"/>
  <c r="O81" i="5" s="1"/>
  <c r="O117" i="5"/>
  <c r="V124" i="5"/>
  <c r="O112" i="5"/>
  <c r="O114" i="5" s="1"/>
  <c r="O125" i="5" l="1"/>
  <c r="O83" i="5" s="1"/>
  <c r="O127" i="5"/>
  <c r="O84" i="5" s="1"/>
  <c r="O90" i="5"/>
  <c r="T90" i="5" s="1"/>
  <c r="O119" i="5"/>
  <c r="O121" i="5" s="1"/>
  <c r="Q78" i="5" s="1"/>
  <c r="O78" i="5" s="1"/>
  <c r="O93" i="5"/>
</calcChain>
</file>

<file path=xl/comments1.xml><?xml version="1.0" encoding="utf-8"?>
<comments xmlns="http://schemas.openxmlformats.org/spreadsheetml/2006/main">
  <authors>
    <author>Kevin Melendres</author>
  </authors>
  <commentList>
    <comment ref="H41" authorId="0" shapeId="0">
      <text>
        <r>
          <rPr>
            <b/>
            <sz val="9"/>
            <color indexed="81"/>
            <rFont val="Tahoma"/>
            <family val="2"/>
          </rPr>
          <t>Kevin Melendres:</t>
        </r>
        <r>
          <rPr>
            <sz val="9"/>
            <color indexed="81"/>
            <rFont val="Tahoma"/>
            <family val="2"/>
          </rPr>
          <t xml:space="preserve">
1.03 DC RATIO</t>
        </r>
      </text>
    </comment>
    <comment ref="BE57" authorId="0" shapeId="0">
      <text>
        <r>
          <rPr>
            <b/>
            <sz val="9"/>
            <color indexed="81"/>
            <rFont val="Tahoma"/>
            <family val="2"/>
          </rPr>
          <t>Kevin Melendres:</t>
        </r>
        <r>
          <rPr>
            <sz val="9"/>
            <color indexed="81"/>
            <rFont val="Tahoma"/>
            <family val="2"/>
          </rPr>
          <t xml:space="preserve">
1.07 DC Ratio</t>
        </r>
      </text>
    </comment>
    <comment ref="BE58" authorId="0" shapeId="0">
      <text>
        <r>
          <rPr>
            <b/>
            <sz val="9"/>
            <color indexed="81"/>
            <rFont val="Tahoma"/>
            <family val="2"/>
          </rPr>
          <t>Kevin Melendres:</t>
        </r>
        <r>
          <rPr>
            <sz val="9"/>
            <color indexed="81"/>
            <rFont val="Tahoma"/>
            <family val="2"/>
          </rPr>
          <t xml:space="preserve">
1.06 DC Ratio</t>
        </r>
      </text>
    </comment>
    <comment ref="BE59" authorId="0" shapeId="0">
      <text>
        <r>
          <rPr>
            <b/>
            <sz val="9"/>
            <color indexed="81"/>
            <rFont val="Tahoma"/>
            <family val="2"/>
          </rPr>
          <t>Kevin Melendres:</t>
        </r>
        <r>
          <rPr>
            <sz val="9"/>
            <color indexed="81"/>
            <rFont val="Tahoma"/>
            <family val="2"/>
          </rPr>
          <t xml:space="preserve">
1.02 DC RATIO</t>
        </r>
      </text>
    </comment>
  </commentList>
</comments>
</file>

<file path=xl/sharedStrings.xml><?xml version="1.0" encoding="utf-8"?>
<sst xmlns="http://schemas.openxmlformats.org/spreadsheetml/2006/main" count="2030" uniqueCount="273">
  <si>
    <t>Length</t>
  </si>
  <si>
    <t>Thickness</t>
  </si>
  <si>
    <t>n</t>
  </si>
  <si>
    <t>mm</t>
  </si>
  <si>
    <t>SW-1</t>
  </si>
  <si>
    <t>Start</t>
  </si>
  <si>
    <t>End</t>
  </si>
  <si>
    <t>FND</t>
  </si>
  <si>
    <t>B1</t>
  </si>
  <si>
    <t>LG</t>
  </si>
  <si>
    <t>L1</t>
  </si>
  <si>
    <t>L5</t>
  </si>
  <si>
    <t>L9</t>
  </si>
  <si>
    <t>L13</t>
  </si>
  <si>
    <t>L17</t>
  </si>
  <si>
    <t>L21</t>
  </si>
  <si>
    <t>L25</t>
  </si>
  <si>
    <t>L30</t>
  </si>
  <si>
    <t>L34</t>
  </si>
  <si>
    <t>L38</t>
  </si>
  <si>
    <t>L42</t>
  </si>
  <si>
    <t>L46</t>
  </si>
  <si>
    <t>L50</t>
  </si>
  <si>
    <t>ROOF OVER MCRM</t>
  </si>
  <si>
    <t xml:space="preserve">dia </t>
  </si>
  <si>
    <t>SW-3</t>
  </si>
  <si>
    <t>FULL</t>
  </si>
  <si>
    <t>Floor Cut</t>
  </si>
  <si>
    <t>Pier Label</t>
  </si>
  <si>
    <t>P1</t>
  </si>
  <si>
    <t>P3</t>
  </si>
  <si>
    <t>SHEAR WALL CALCULATION REPORT</t>
  </si>
  <si>
    <t>TRANSVERSE REINFORCEMENT</t>
  </si>
  <si>
    <t>PROJECT:</t>
  </si>
  <si>
    <t>ENGR.:</t>
  </si>
  <si>
    <t>DATE:</t>
  </si>
  <si>
    <t>GRAV</t>
  </si>
  <si>
    <t>WALL DESCRIPTION</t>
  </si>
  <si>
    <t>WIND</t>
  </si>
  <si>
    <t>SLE</t>
  </si>
  <si>
    <t>Designation:</t>
  </si>
  <si>
    <t>DBE</t>
  </si>
  <si>
    <t>Floor Levels:</t>
  </si>
  <si>
    <t>MCE</t>
  </si>
  <si>
    <t>Type of Detailing:</t>
  </si>
  <si>
    <t>Special</t>
  </si>
  <si>
    <t>SECTION GEOMETRY</t>
  </si>
  <si>
    <r>
      <t xml:space="preserve">Wall height, </t>
    </r>
    <r>
      <rPr>
        <i/>
        <sz val="11"/>
        <color theme="1"/>
        <rFont val="Cambria"/>
        <family val="1"/>
      </rPr>
      <t>h</t>
    </r>
    <r>
      <rPr>
        <i/>
        <vertAlign val="subscript"/>
        <sz val="11"/>
        <color theme="1"/>
        <rFont val="Cambria"/>
        <family val="1"/>
      </rPr>
      <t>w</t>
    </r>
    <r>
      <rPr>
        <sz val="11"/>
        <color theme="1"/>
        <rFont val="Futura Lt BT"/>
        <family val="2"/>
      </rPr>
      <t xml:space="preserve"> =</t>
    </r>
  </si>
  <si>
    <r>
      <t xml:space="preserve">Bound. Elem. 1 width, </t>
    </r>
    <r>
      <rPr>
        <i/>
        <sz val="11"/>
        <color theme="1"/>
        <rFont val="Cambria"/>
        <family val="1"/>
      </rPr>
      <t>h</t>
    </r>
    <r>
      <rPr>
        <i/>
        <vertAlign val="subscript"/>
        <sz val="11"/>
        <color theme="1"/>
        <rFont val="Cambria"/>
        <family val="1"/>
      </rPr>
      <t>1</t>
    </r>
    <r>
      <rPr>
        <sz val="11"/>
        <color theme="1"/>
        <rFont val="Futura Lt BT"/>
        <family val="2"/>
      </rPr>
      <t xml:space="preserve"> =</t>
    </r>
  </si>
  <si>
    <r>
      <t xml:space="preserve">Bound. Elem. 1 length, </t>
    </r>
    <r>
      <rPr>
        <i/>
        <sz val="11"/>
        <color theme="1"/>
        <rFont val="Cambria"/>
        <family val="1"/>
      </rPr>
      <t>l</t>
    </r>
    <r>
      <rPr>
        <i/>
        <vertAlign val="subscript"/>
        <sz val="11"/>
        <color theme="1"/>
        <rFont val="Cambria"/>
        <family val="1"/>
      </rPr>
      <t>w1</t>
    </r>
    <r>
      <rPr>
        <sz val="11"/>
        <color theme="1"/>
        <rFont val="Futura Lt BT"/>
        <family val="2"/>
      </rPr>
      <t xml:space="preserve"> =</t>
    </r>
  </si>
  <si>
    <r>
      <t xml:space="preserve">Bound. Elem. 2 width, </t>
    </r>
    <r>
      <rPr>
        <i/>
        <sz val="11"/>
        <color theme="1"/>
        <rFont val="Cambria"/>
        <family val="1"/>
      </rPr>
      <t>h</t>
    </r>
    <r>
      <rPr>
        <i/>
        <vertAlign val="subscript"/>
        <sz val="11"/>
        <color theme="1"/>
        <rFont val="Cambria"/>
        <family val="1"/>
      </rPr>
      <t>2</t>
    </r>
    <r>
      <rPr>
        <sz val="11"/>
        <color theme="1"/>
        <rFont val="Futura Lt BT"/>
        <family val="2"/>
      </rPr>
      <t xml:space="preserve"> =</t>
    </r>
  </si>
  <si>
    <r>
      <t xml:space="preserve">Bound. Elem. 2 length, </t>
    </r>
    <r>
      <rPr>
        <i/>
        <sz val="11"/>
        <color theme="1"/>
        <rFont val="Cambria"/>
        <family val="1"/>
      </rPr>
      <t>l</t>
    </r>
    <r>
      <rPr>
        <i/>
        <vertAlign val="subscript"/>
        <sz val="11"/>
        <color theme="1"/>
        <rFont val="Cambria"/>
        <family val="1"/>
      </rPr>
      <t>w2</t>
    </r>
    <r>
      <rPr>
        <sz val="11"/>
        <color theme="1"/>
        <rFont val="Futura Lt BT"/>
        <family val="2"/>
      </rPr>
      <t xml:space="preserve"> =</t>
    </r>
  </si>
  <si>
    <r>
      <t xml:space="preserve">Shear Elem. thickness, </t>
    </r>
    <r>
      <rPr>
        <i/>
        <sz val="11"/>
        <color theme="1"/>
        <rFont val="Cambria"/>
        <family val="1"/>
      </rPr>
      <t>h</t>
    </r>
    <r>
      <rPr>
        <i/>
        <vertAlign val="subscript"/>
        <sz val="11"/>
        <color theme="1"/>
        <rFont val="Cambria"/>
        <family val="1"/>
      </rPr>
      <t>3</t>
    </r>
    <r>
      <rPr>
        <sz val="11"/>
        <color theme="1"/>
        <rFont val="Futura Lt BT"/>
        <family val="2"/>
      </rPr>
      <t xml:space="preserve"> =</t>
    </r>
  </si>
  <si>
    <r>
      <t xml:space="preserve">Shear Elem. length, </t>
    </r>
    <r>
      <rPr>
        <i/>
        <sz val="11"/>
        <color theme="1"/>
        <rFont val="Cambria"/>
        <family val="1"/>
      </rPr>
      <t>l</t>
    </r>
    <r>
      <rPr>
        <i/>
        <vertAlign val="subscript"/>
        <sz val="11"/>
        <color theme="1"/>
        <rFont val="Cambria"/>
        <family val="1"/>
      </rPr>
      <t>w3</t>
    </r>
    <r>
      <rPr>
        <sz val="11"/>
        <color theme="1"/>
        <rFont val="Futura Lt BT"/>
        <family val="2"/>
      </rPr>
      <t xml:space="preserve"> =</t>
    </r>
  </si>
  <si>
    <r>
      <t xml:space="preserve">Concrete cover, </t>
    </r>
    <r>
      <rPr>
        <i/>
        <sz val="11"/>
        <color theme="1"/>
        <rFont val="Cambria"/>
        <family val="1"/>
      </rPr>
      <t>cc</t>
    </r>
    <r>
      <rPr>
        <sz val="11"/>
        <color theme="1"/>
        <rFont val="Futura Lt BT"/>
        <family val="2"/>
      </rPr>
      <t xml:space="preserve"> =</t>
    </r>
  </si>
  <si>
    <t>GOVERNING LOAD</t>
  </si>
  <si>
    <r>
      <t xml:space="preserve">Max. shear demand, </t>
    </r>
    <r>
      <rPr>
        <i/>
        <sz val="11"/>
        <color theme="1"/>
        <rFont val="Cambria"/>
        <family val="1"/>
      </rPr>
      <t>V</t>
    </r>
    <r>
      <rPr>
        <i/>
        <vertAlign val="subscript"/>
        <sz val="11"/>
        <color theme="1"/>
        <rFont val="Cambria"/>
        <family val="1"/>
      </rPr>
      <t>u</t>
    </r>
    <r>
      <rPr>
        <sz val="11"/>
        <color theme="1"/>
        <rFont val="Futura Lt BT"/>
        <family val="2"/>
      </rPr>
      <t xml:space="preserve"> =</t>
    </r>
  </si>
  <si>
    <t>kN</t>
  </si>
  <si>
    <t>B Factor (for MCE only) =</t>
  </si>
  <si>
    <t>MATERIAL PROPERTIES</t>
  </si>
  <si>
    <t>Concrete</t>
  </si>
  <si>
    <r>
      <t xml:space="preserve">Concrete compressive strength, </t>
    </r>
    <r>
      <rPr>
        <i/>
        <sz val="11"/>
        <color theme="1"/>
        <rFont val="Cambria"/>
        <family val="1"/>
      </rPr>
      <t>f</t>
    </r>
    <r>
      <rPr>
        <i/>
        <vertAlign val="subscript"/>
        <sz val="11"/>
        <color theme="1"/>
        <rFont val="Cambria"/>
        <family val="1"/>
      </rPr>
      <t>c</t>
    </r>
    <r>
      <rPr>
        <i/>
        <sz val="11"/>
        <color theme="1"/>
        <rFont val="Cambria"/>
        <family val="1"/>
      </rPr>
      <t>'</t>
    </r>
    <r>
      <rPr>
        <sz val="11"/>
        <color theme="1"/>
        <rFont val="Futura Lt BT"/>
        <family val="2"/>
      </rPr>
      <t xml:space="preserve"> =</t>
    </r>
  </si>
  <si>
    <t>MPa</t>
  </si>
  <si>
    <t>Reinforcement</t>
  </si>
  <si>
    <t>OUTER</t>
  </si>
  <si>
    <t>INNER</t>
  </si>
  <si>
    <r>
      <t xml:space="preserve">Boundary element 1 longitudinal reinforcement yield strength, </t>
    </r>
    <r>
      <rPr>
        <i/>
        <sz val="11"/>
        <color theme="1"/>
        <rFont val="Cambria"/>
        <family val="1"/>
      </rPr>
      <t>f</t>
    </r>
    <r>
      <rPr>
        <i/>
        <vertAlign val="subscript"/>
        <sz val="11"/>
        <color theme="1"/>
        <rFont val="Cambria"/>
        <family val="1"/>
      </rPr>
      <t>yl1</t>
    </r>
    <r>
      <rPr>
        <sz val="11"/>
        <color theme="1"/>
        <rFont val="Futura Lt BT"/>
        <family val="2"/>
      </rPr>
      <t xml:space="preserve"> =</t>
    </r>
  </si>
  <si>
    <r>
      <t xml:space="preserve">Boundary element 1 joint &amp; transverse reinforcement yield strength, </t>
    </r>
    <r>
      <rPr>
        <i/>
        <sz val="11"/>
        <color theme="1"/>
        <rFont val="Cambria"/>
        <family val="1"/>
      </rPr>
      <t>f</t>
    </r>
    <r>
      <rPr>
        <i/>
        <vertAlign val="subscript"/>
        <sz val="11"/>
        <color theme="1"/>
        <rFont val="Cambria"/>
        <family val="1"/>
      </rPr>
      <t>yt1</t>
    </r>
    <r>
      <rPr>
        <sz val="11"/>
        <color theme="1"/>
        <rFont val="Futura Lt BT"/>
        <family val="2"/>
      </rPr>
      <t xml:space="preserve"> =</t>
    </r>
  </si>
  <si>
    <r>
      <t xml:space="preserve">Boundary element 2 longitudinal reinforcement yield strength, </t>
    </r>
    <r>
      <rPr>
        <i/>
        <sz val="11"/>
        <color theme="1"/>
        <rFont val="Cambria"/>
        <family val="1"/>
      </rPr>
      <t>f</t>
    </r>
    <r>
      <rPr>
        <i/>
        <vertAlign val="subscript"/>
        <sz val="11"/>
        <color theme="1"/>
        <rFont val="Cambria"/>
        <family val="1"/>
      </rPr>
      <t>yl2</t>
    </r>
    <r>
      <rPr>
        <sz val="11"/>
        <color theme="1"/>
        <rFont val="Futura Lt BT"/>
        <family val="2"/>
      </rPr>
      <t xml:space="preserve"> =</t>
    </r>
  </si>
  <si>
    <r>
      <t xml:space="preserve">Boundary element 2 joint &amp; transverse reinforcement yield strength, </t>
    </r>
    <r>
      <rPr>
        <i/>
        <sz val="11"/>
        <color theme="1"/>
        <rFont val="Cambria"/>
        <family val="1"/>
      </rPr>
      <t>f</t>
    </r>
    <r>
      <rPr>
        <i/>
        <vertAlign val="subscript"/>
        <sz val="11"/>
        <color theme="1"/>
        <rFont val="Cambria"/>
        <family val="1"/>
      </rPr>
      <t>yt2</t>
    </r>
    <r>
      <rPr>
        <sz val="11"/>
        <color theme="1"/>
        <rFont val="Futura Lt BT"/>
        <family val="2"/>
      </rPr>
      <t xml:space="preserve"> =</t>
    </r>
  </si>
  <si>
    <r>
      <t xml:space="preserve">Shear element longitudinal reinforcement yield strength, </t>
    </r>
    <r>
      <rPr>
        <i/>
        <sz val="11"/>
        <color theme="1"/>
        <rFont val="Cambria"/>
        <family val="1"/>
      </rPr>
      <t>f</t>
    </r>
    <r>
      <rPr>
        <i/>
        <vertAlign val="subscript"/>
        <sz val="11"/>
        <color theme="1"/>
        <rFont val="Cambria"/>
        <family val="1"/>
      </rPr>
      <t>yl</t>
    </r>
    <r>
      <rPr>
        <sz val="11"/>
        <color theme="1"/>
        <rFont val="Futura Lt BT"/>
        <family val="2"/>
      </rPr>
      <t xml:space="preserve"> =</t>
    </r>
  </si>
  <si>
    <r>
      <t xml:space="preserve">Shear element transverse reinforcement yield strength, </t>
    </r>
    <r>
      <rPr>
        <i/>
        <sz val="11"/>
        <color theme="1"/>
        <rFont val="Cambria"/>
        <family val="1"/>
      </rPr>
      <t>f</t>
    </r>
    <r>
      <rPr>
        <i/>
        <vertAlign val="subscript"/>
        <sz val="11"/>
        <color theme="1"/>
        <rFont val="Cambria"/>
        <family val="1"/>
      </rPr>
      <t>yt</t>
    </r>
    <r>
      <rPr>
        <sz val="11"/>
        <color theme="1"/>
        <rFont val="Futura Lt BT"/>
        <family val="2"/>
      </rPr>
      <t xml:space="preserve"> =</t>
    </r>
  </si>
  <si>
    <t>REINFORCEMENT DETAILS</t>
  </si>
  <si>
    <t>ALONG X</t>
  </si>
  <si>
    <t>ALONG Y</t>
  </si>
  <si>
    <t>Boundary Element 1 Longitudinal Reinforcement</t>
  </si>
  <si>
    <r>
      <t xml:space="preserve">Number of longitudinal bars, </t>
    </r>
    <r>
      <rPr>
        <i/>
        <sz val="11"/>
        <color theme="1"/>
        <rFont val="Cambria"/>
        <family val="1"/>
      </rPr>
      <t>n</t>
    </r>
    <r>
      <rPr>
        <i/>
        <vertAlign val="subscript"/>
        <sz val="11"/>
        <color theme="1"/>
        <rFont val="Cambria"/>
        <family val="1"/>
      </rPr>
      <t>l1</t>
    </r>
    <r>
      <rPr>
        <sz val="11"/>
        <color theme="1"/>
        <rFont val="Futura Lt BT"/>
        <family val="2"/>
      </rPr>
      <t xml:space="preserve"> =</t>
    </r>
  </si>
  <si>
    <r>
      <t xml:space="preserve">Longitudinal reinforcement bar diameter, </t>
    </r>
    <r>
      <rPr>
        <i/>
        <sz val="11"/>
        <color theme="1"/>
        <rFont val="Cambria"/>
        <family val="1"/>
      </rPr>
      <t>d</t>
    </r>
    <r>
      <rPr>
        <i/>
        <vertAlign val="subscript"/>
        <sz val="11"/>
        <color theme="1"/>
        <rFont val="Cambria"/>
        <family val="1"/>
      </rPr>
      <t>l1</t>
    </r>
    <r>
      <rPr>
        <sz val="11"/>
        <color theme="1"/>
        <rFont val="Futura Lt BT"/>
        <family val="2"/>
      </rPr>
      <t xml:space="preserve"> =</t>
    </r>
  </si>
  <si>
    <t>Boundary Element 1 Joint &amp; Transverse Reinforcement</t>
  </si>
  <si>
    <r>
      <t xml:space="preserve">Number of outer reinforcement legs, </t>
    </r>
    <r>
      <rPr>
        <i/>
        <sz val="11"/>
        <color theme="1"/>
        <rFont val="Cambria"/>
        <family val="1"/>
      </rPr>
      <t>n</t>
    </r>
    <r>
      <rPr>
        <i/>
        <vertAlign val="subscript"/>
        <sz val="11"/>
        <color theme="1"/>
        <rFont val="Cambria"/>
        <family val="1"/>
      </rPr>
      <t>o1</t>
    </r>
    <r>
      <rPr>
        <sz val="11"/>
        <color theme="1"/>
        <rFont val="Futura Lt BT"/>
        <family val="2"/>
      </rPr>
      <t xml:space="preserve"> =</t>
    </r>
  </si>
  <si>
    <r>
      <t xml:space="preserve">Number of inner reinforcement legs, </t>
    </r>
    <r>
      <rPr>
        <i/>
        <sz val="11"/>
        <color theme="1"/>
        <rFont val="Cambria"/>
        <family val="1"/>
      </rPr>
      <t>n</t>
    </r>
    <r>
      <rPr>
        <i/>
        <vertAlign val="subscript"/>
        <sz val="11"/>
        <color theme="1"/>
        <rFont val="Cambria"/>
        <family val="1"/>
      </rPr>
      <t>i1</t>
    </r>
    <r>
      <rPr>
        <sz val="11"/>
        <color theme="1"/>
        <rFont val="Futura Lt BT"/>
        <family val="2"/>
      </rPr>
      <t xml:space="preserve"> =</t>
    </r>
  </si>
  <si>
    <r>
      <t xml:space="preserve">Outer reinforcement bar diameter, </t>
    </r>
    <r>
      <rPr>
        <i/>
        <sz val="11"/>
        <color theme="1"/>
        <rFont val="Cambria"/>
        <family val="1"/>
      </rPr>
      <t>d</t>
    </r>
    <r>
      <rPr>
        <i/>
        <vertAlign val="subscript"/>
        <sz val="11"/>
        <color theme="1"/>
        <rFont val="Cambria"/>
        <family val="1"/>
      </rPr>
      <t>o1</t>
    </r>
    <r>
      <rPr>
        <sz val="11"/>
        <color theme="1"/>
        <rFont val="Futura Lt BT"/>
        <family val="2"/>
      </rPr>
      <t xml:space="preserve"> =</t>
    </r>
  </si>
  <si>
    <r>
      <t xml:space="preserve">Inner reinforcement bar diameter, </t>
    </r>
    <r>
      <rPr>
        <i/>
        <sz val="11"/>
        <color theme="1"/>
        <rFont val="Cambria"/>
        <family val="1"/>
      </rPr>
      <t>d</t>
    </r>
    <r>
      <rPr>
        <i/>
        <vertAlign val="subscript"/>
        <sz val="11"/>
        <color theme="1"/>
        <rFont val="Cambria"/>
        <family val="1"/>
      </rPr>
      <t>i1</t>
    </r>
    <r>
      <rPr>
        <sz val="11"/>
        <color theme="1"/>
        <rFont val="Futura Lt BT"/>
        <family val="2"/>
      </rPr>
      <t xml:space="preserve"> =</t>
    </r>
  </si>
  <si>
    <r>
      <t xml:space="preserve">Longitudinal spacing of reinforcement, </t>
    </r>
    <r>
      <rPr>
        <i/>
        <sz val="11"/>
        <color theme="1"/>
        <rFont val="Cambria"/>
        <family val="1"/>
      </rPr>
      <t>s</t>
    </r>
    <r>
      <rPr>
        <i/>
        <vertAlign val="subscript"/>
        <sz val="11"/>
        <color theme="1"/>
        <rFont val="Cambria"/>
        <family val="1"/>
      </rPr>
      <t>1</t>
    </r>
    <r>
      <rPr>
        <sz val="11"/>
        <color theme="1"/>
        <rFont val="Futura Lt BT"/>
        <family val="2"/>
      </rPr>
      <t xml:space="preserve"> =</t>
    </r>
  </si>
  <si>
    <t>Boundary Element 2 Longitudinal Reinforcement</t>
  </si>
  <si>
    <r>
      <t xml:space="preserve">Number of longitudinal bars, </t>
    </r>
    <r>
      <rPr>
        <i/>
        <sz val="11"/>
        <color theme="1"/>
        <rFont val="Cambria"/>
        <family val="1"/>
      </rPr>
      <t>n</t>
    </r>
    <r>
      <rPr>
        <i/>
        <vertAlign val="subscript"/>
        <sz val="11"/>
        <color theme="1"/>
        <rFont val="Cambria"/>
        <family val="1"/>
      </rPr>
      <t>l2</t>
    </r>
    <r>
      <rPr>
        <sz val="11"/>
        <color theme="1"/>
        <rFont val="Futura Lt BT"/>
        <family val="2"/>
      </rPr>
      <t xml:space="preserve"> =</t>
    </r>
  </si>
  <si>
    <r>
      <t xml:space="preserve">Longitudinal reinforcement bar diameter, </t>
    </r>
    <r>
      <rPr>
        <i/>
        <sz val="11"/>
        <color theme="1"/>
        <rFont val="Cambria"/>
        <family val="1"/>
      </rPr>
      <t>d</t>
    </r>
    <r>
      <rPr>
        <i/>
        <vertAlign val="subscript"/>
        <sz val="11"/>
        <color theme="1"/>
        <rFont val="Cambria"/>
        <family val="1"/>
      </rPr>
      <t>l2</t>
    </r>
    <r>
      <rPr>
        <sz val="11"/>
        <color theme="1"/>
        <rFont val="Futura Lt BT"/>
        <family val="2"/>
      </rPr>
      <t xml:space="preserve"> =</t>
    </r>
  </si>
  <si>
    <t>Boundary Element 2 Joint &amp; Transverse Reinforcement</t>
  </si>
  <si>
    <r>
      <t xml:space="preserve">Number of outer reinforcement legs, </t>
    </r>
    <r>
      <rPr>
        <i/>
        <sz val="11"/>
        <color theme="1"/>
        <rFont val="Cambria"/>
        <family val="1"/>
      </rPr>
      <t>n</t>
    </r>
    <r>
      <rPr>
        <i/>
        <vertAlign val="subscript"/>
        <sz val="11"/>
        <color theme="1"/>
        <rFont val="Cambria"/>
        <family val="1"/>
      </rPr>
      <t>o2</t>
    </r>
    <r>
      <rPr>
        <sz val="11"/>
        <color theme="1"/>
        <rFont val="Futura Lt BT"/>
        <family val="2"/>
      </rPr>
      <t xml:space="preserve"> =</t>
    </r>
  </si>
  <si>
    <r>
      <t xml:space="preserve">Number of inner reinforcement legs, </t>
    </r>
    <r>
      <rPr>
        <i/>
        <sz val="11"/>
        <color theme="1"/>
        <rFont val="Cambria"/>
        <family val="1"/>
      </rPr>
      <t>n</t>
    </r>
    <r>
      <rPr>
        <i/>
        <vertAlign val="subscript"/>
        <sz val="11"/>
        <color theme="1"/>
        <rFont val="Cambria"/>
        <family val="1"/>
      </rPr>
      <t>i2</t>
    </r>
    <r>
      <rPr>
        <sz val="11"/>
        <color theme="1"/>
        <rFont val="Futura Lt BT"/>
        <family val="2"/>
      </rPr>
      <t xml:space="preserve"> =</t>
    </r>
  </si>
  <si>
    <r>
      <t xml:space="preserve">Outer reinforcement bar diameter, </t>
    </r>
    <r>
      <rPr>
        <i/>
        <sz val="11"/>
        <color theme="1"/>
        <rFont val="Cambria"/>
        <family val="1"/>
      </rPr>
      <t>d</t>
    </r>
    <r>
      <rPr>
        <i/>
        <vertAlign val="subscript"/>
        <sz val="11"/>
        <color theme="1"/>
        <rFont val="Cambria"/>
        <family val="1"/>
      </rPr>
      <t>o2</t>
    </r>
    <r>
      <rPr>
        <sz val="11"/>
        <color theme="1"/>
        <rFont val="Futura Lt BT"/>
        <family val="2"/>
      </rPr>
      <t xml:space="preserve"> =</t>
    </r>
  </si>
  <si>
    <r>
      <t xml:space="preserve">Inner reinforcement bar diameter, </t>
    </r>
    <r>
      <rPr>
        <i/>
        <sz val="11"/>
        <color theme="1"/>
        <rFont val="Cambria"/>
        <family val="1"/>
      </rPr>
      <t>d</t>
    </r>
    <r>
      <rPr>
        <i/>
        <vertAlign val="subscript"/>
        <sz val="11"/>
        <color theme="1"/>
        <rFont val="Cambria"/>
        <family val="1"/>
      </rPr>
      <t>i2</t>
    </r>
    <r>
      <rPr>
        <sz val="11"/>
        <color theme="1"/>
        <rFont val="Futura Lt BT"/>
        <family val="2"/>
      </rPr>
      <t xml:space="preserve"> =</t>
    </r>
  </si>
  <si>
    <r>
      <t xml:space="preserve">Longitudinal spacing of reinforcement, </t>
    </r>
    <r>
      <rPr>
        <i/>
        <sz val="11"/>
        <color theme="1"/>
        <rFont val="Cambria"/>
        <family val="1"/>
      </rPr>
      <t>s</t>
    </r>
    <r>
      <rPr>
        <i/>
        <vertAlign val="subscript"/>
        <sz val="11"/>
        <color theme="1"/>
        <rFont val="Cambria"/>
        <family val="1"/>
      </rPr>
      <t>2</t>
    </r>
    <r>
      <rPr>
        <sz val="11"/>
        <color theme="1"/>
        <rFont val="Futura Lt BT"/>
        <family val="2"/>
      </rPr>
      <t xml:space="preserve"> =</t>
    </r>
  </si>
  <si>
    <t>Shear Element Reinforcement</t>
  </si>
  <si>
    <r>
      <t xml:space="preserve">Number of longitudinal reinforcement curtains, </t>
    </r>
    <r>
      <rPr>
        <i/>
        <sz val="11"/>
        <color theme="1"/>
        <rFont val="Cambria"/>
        <family val="1"/>
      </rPr>
      <t>n</t>
    </r>
    <r>
      <rPr>
        <i/>
        <vertAlign val="subscript"/>
        <sz val="11"/>
        <color theme="1"/>
        <rFont val="Cambria"/>
        <family val="1"/>
      </rPr>
      <t>cl</t>
    </r>
    <r>
      <rPr>
        <sz val="11"/>
        <color theme="1"/>
        <rFont val="Futura Lt BT"/>
        <family val="2"/>
      </rPr>
      <t xml:space="preserve"> =</t>
    </r>
  </si>
  <si>
    <r>
      <t xml:space="preserve">Longitudinal reinforcement bar diameter, </t>
    </r>
    <r>
      <rPr>
        <i/>
        <sz val="11"/>
        <color theme="1"/>
        <rFont val="Cambria"/>
        <family val="1"/>
      </rPr>
      <t>d</t>
    </r>
    <r>
      <rPr>
        <i/>
        <vertAlign val="subscript"/>
        <sz val="11"/>
        <color theme="1"/>
        <rFont val="Cambria"/>
        <family val="1"/>
      </rPr>
      <t>l</t>
    </r>
    <r>
      <rPr>
        <sz val="11"/>
        <color theme="1"/>
        <rFont val="Futura Lt BT"/>
        <family val="2"/>
      </rPr>
      <t xml:space="preserve"> =</t>
    </r>
  </si>
  <si>
    <r>
      <t xml:space="preserve">Spacing of longitudinal reinforcement, </t>
    </r>
    <r>
      <rPr>
        <i/>
        <sz val="11"/>
        <color theme="1"/>
        <rFont val="Cambria"/>
        <family val="1"/>
      </rPr>
      <t>s</t>
    </r>
    <r>
      <rPr>
        <i/>
        <vertAlign val="subscript"/>
        <sz val="11"/>
        <color theme="1"/>
        <rFont val="Cambria"/>
        <family val="1"/>
      </rPr>
      <t>l</t>
    </r>
    <r>
      <rPr>
        <sz val="11"/>
        <color theme="1"/>
        <rFont val="Futura Lt BT"/>
        <family val="2"/>
      </rPr>
      <t xml:space="preserve"> =</t>
    </r>
  </si>
  <si>
    <r>
      <t xml:space="preserve">Number of transverse reinforcement curtains, </t>
    </r>
    <r>
      <rPr>
        <i/>
        <sz val="11"/>
        <color theme="1"/>
        <rFont val="Cambria"/>
        <family val="1"/>
      </rPr>
      <t>n</t>
    </r>
    <r>
      <rPr>
        <i/>
        <vertAlign val="subscript"/>
        <sz val="11"/>
        <color theme="1"/>
        <rFont val="Cambria"/>
        <family val="1"/>
      </rPr>
      <t>ct</t>
    </r>
    <r>
      <rPr>
        <sz val="11"/>
        <color theme="1"/>
        <rFont val="Futura Lt BT"/>
        <family val="2"/>
      </rPr>
      <t xml:space="preserve"> =</t>
    </r>
  </si>
  <si>
    <r>
      <t xml:space="preserve">Transverse reinforcement bar diameter, </t>
    </r>
    <r>
      <rPr>
        <i/>
        <sz val="11"/>
        <color theme="1"/>
        <rFont val="Cambria"/>
        <family val="1"/>
      </rPr>
      <t>d</t>
    </r>
    <r>
      <rPr>
        <i/>
        <vertAlign val="subscript"/>
        <sz val="11"/>
        <color theme="1"/>
        <rFont val="Cambria"/>
        <family val="1"/>
      </rPr>
      <t>t</t>
    </r>
    <r>
      <rPr>
        <sz val="11"/>
        <color theme="1"/>
        <rFont val="Futura Lt BT"/>
        <family val="2"/>
      </rPr>
      <t xml:space="preserve"> =</t>
    </r>
  </si>
  <si>
    <r>
      <t xml:space="preserve">Spacing of transverse reinforcement, </t>
    </r>
    <r>
      <rPr>
        <i/>
        <sz val="11"/>
        <color theme="1"/>
        <rFont val="Cambria"/>
        <family val="1"/>
      </rPr>
      <t>s</t>
    </r>
    <r>
      <rPr>
        <i/>
        <vertAlign val="subscript"/>
        <sz val="11"/>
        <color theme="1"/>
        <rFont val="Cambria"/>
        <family val="1"/>
      </rPr>
      <t>t</t>
    </r>
    <r>
      <rPr>
        <sz val="11"/>
        <color theme="1"/>
        <rFont val="Futura Lt BT"/>
        <family val="2"/>
      </rPr>
      <t xml:space="preserve"> =</t>
    </r>
  </si>
  <si>
    <t>RESULT SUMMARY</t>
  </si>
  <si>
    <t>Demand-Capacity Ratios</t>
  </si>
  <si>
    <t>Shear:</t>
  </si>
  <si>
    <t>Detailing Demand-Capacity Ratios</t>
  </si>
  <si>
    <t>Boundary element 1 joint &amp; transverse reinforcement:</t>
  </si>
  <si>
    <t>Boundary element 2 joint &amp; transverse reinforcement:</t>
  </si>
  <si>
    <t>Shear element longitudinal reinforcement:</t>
  </si>
  <si>
    <t>Shear element transverse reinforcement:</t>
  </si>
  <si>
    <t>Other Requirement Checks</t>
  </si>
  <si>
    <t>BE1</t>
  </si>
  <si>
    <t>BE2</t>
  </si>
  <si>
    <t>Minimum longitudinal bar spacing for boundary element:</t>
  </si>
  <si>
    <t>Maximum longitudinal bar spacing for boundary element:</t>
  </si>
  <si>
    <t>Minimum hoop bar diameter for boundary element:</t>
  </si>
  <si>
    <t>Maximum hoop longitudinal spacing for boundary element:</t>
  </si>
  <si>
    <t>Maximum spacing of longitudinal reinforcement for shear element:</t>
  </si>
  <si>
    <t>Maximum spacing of transverse reinforcement for shear element:</t>
  </si>
  <si>
    <t>Minimum reinforcement curtains for shear element:</t>
  </si>
  <si>
    <t>CALCULATIONS</t>
  </si>
  <si>
    <r>
      <t xml:space="preserve">Provided reinforcement, </t>
    </r>
    <r>
      <rPr>
        <i/>
        <sz val="11"/>
        <color theme="1"/>
        <rFont val="Cambria"/>
        <family val="1"/>
      </rPr>
      <t>[ A</t>
    </r>
    <r>
      <rPr>
        <i/>
        <vertAlign val="subscript"/>
        <sz val="11"/>
        <color theme="1"/>
        <rFont val="Cambria"/>
        <family val="1"/>
      </rPr>
      <t>sh1</t>
    </r>
    <r>
      <rPr>
        <i/>
        <sz val="11"/>
        <color theme="1"/>
        <rFont val="Cambria"/>
        <family val="1"/>
      </rPr>
      <t>/s</t>
    </r>
    <r>
      <rPr>
        <i/>
        <vertAlign val="subscript"/>
        <sz val="11"/>
        <color theme="1"/>
        <rFont val="Cambria"/>
        <family val="1"/>
      </rPr>
      <t>1</t>
    </r>
    <r>
      <rPr>
        <i/>
        <sz val="11"/>
        <color theme="1"/>
        <rFont val="Cambria"/>
        <family val="1"/>
      </rPr>
      <t>b</t>
    </r>
    <r>
      <rPr>
        <i/>
        <vertAlign val="subscript"/>
        <sz val="11"/>
        <color theme="1"/>
        <rFont val="Cambria"/>
        <family val="1"/>
      </rPr>
      <t xml:space="preserve">c1 </t>
    </r>
    <r>
      <rPr>
        <i/>
        <sz val="11"/>
        <color theme="1"/>
        <rFont val="Cambria"/>
        <family val="1"/>
      </rPr>
      <t>]</t>
    </r>
    <r>
      <rPr>
        <i/>
        <vertAlign val="subscript"/>
        <sz val="11"/>
        <color theme="1"/>
        <rFont val="Cambria"/>
        <family val="1"/>
      </rPr>
      <t>prov</t>
    </r>
    <r>
      <rPr>
        <sz val="11"/>
        <color theme="1"/>
        <rFont val="Futura Lt BT"/>
        <family val="2"/>
      </rPr>
      <t xml:space="preserve"> =</t>
    </r>
  </si>
  <si>
    <r>
      <t xml:space="preserve">Maximum spacing of laterally-supported longitudinal bars, </t>
    </r>
    <r>
      <rPr>
        <i/>
        <sz val="11"/>
        <color theme="1"/>
        <rFont val="Cambria"/>
        <family val="1"/>
      </rPr>
      <t>h</t>
    </r>
    <r>
      <rPr>
        <i/>
        <vertAlign val="subscript"/>
        <sz val="11"/>
        <color theme="1"/>
        <rFont val="Cambria"/>
        <family val="1"/>
      </rPr>
      <t>x1</t>
    </r>
    <r>
      <rPr>
        <sz val="11"/>
        <color theme="1"/>
        <rFont val="Futura Lt BT"/>
        <family val="2"/>
      </rPr>
      <t xml:space="preserve"> =</t>
    </r>
  </si>
  <si>
    <r>
      <t xml:space="preserve">Required reinforcement, </t>
    </r>
    <r>
      <rPr>
        <i/>
        <sz val="11"/>
        <color theme="1"/>
        <rFont val="Cambria"/>
        <family val="1"/>
      </rPr>
      <t>[ A</t>
    </r>
    <r>
      <rPr>
        <i/>
        <vertAlign val="subscript"/>
        <sz val="11"/>
        <color theme="1"/>
        <rFont val="Cambria"/>
        <family val="1"/>
      </rPr>
      <t>sh1</t>
    </r>
    <r>
      <rPr>
        <i/>
        <sz val="11"/>
        <color theme="1"/>
        <rFont val="Cambria"/>
        <family val="1"/>
      </rPr>
      <t>/s</t>
    </r>
    <r>
      <rPr>
        <i/>
        <vertAlign val="subscript"/>
        <sz val="11"/>
        <color theme="1"/>
        <rFont val="Cambria"/>
        <family val="1"/>
      </rPr>
      <t>1</t>
    </r>
    <r>
      <rPr>
        <i/>
        <sz val="11"/>
        <color theme="1"/>
        <rFont val="Cambria"/>
        <family val="1"/>
      </rPr>
      <t>b</t>
    </r>
    <r>
      <rPr>
        <i/>
        <vertAlign val="subscript"/>
        <sz val="11"/>
        <color theme="1"/>
        <rFont val="Cambria"/>
        <family val="1"/>
      </rPr>
      <t xml:space="preserve">c1 </t>
    </r>
    <r>
      <rPr>
        <i/>
        <sz val="11"/>
        <color theme="1"/>
        <rFont val="Cambria"/>
        <family val="1"/>
      </rPr>
      <t>]</t>
    </r>
    <r>
      <rPr>
        <i/>
        <vertAlign val="subscript"/>
        <sz val="11"/>
        <color theme="1"/>
        <rFont val="Cambria"/>
        <family val="1"/>
      </rPr>
      <t>req</t>
    </r>
    <r>
      <rPr>
        <sz val="11"/>
        <color theme="1"/>
        <rFont val="Futura Lt BT"/>
        <family val="2"/>
      </rPr>
      <t xml:space="preserve"> =</t>
    </r>
  </si>
  <si>
    <r>
      <t xml:space="preserve">Required spacing of reinforcement, </t>
    </r>
    <r>
      <rPr>
        <i/>
        <sz val="11"/>
        <color theme="1"/>
        <rFont val="Cambria"/>
        <family val="1"/>
      </rPr>
      <t>s</t>
    </r>
    <r>
      <rPr>
        <i/>
        <vertAlign val="subscript"/>
        <sz val="11"/>
        <color theme="1"/>
        <rFont val="Cambria"/>
        <family val="1"/>
      </rPr>
      <t>1req</t>
    </r>
    <r>
      <rPr>
        <sz val="11"/>
        <color theme="1"/>
        <rFont val="Futura Lt BT"/>
        <family val="2"/>
      </rPr>
      <t xml:space="preserve"> =</t>
    </r>
  </si>
  <si>
    <r>
      <t xml:space="preserve">Provided reinforcement, </t>
    </r>
    <r>
      <rPr>
        <i/>
        <sz val="11"/>
        <color theme="1"/>
        <rFont val="Cambria"/>
        <family val="1"/>
      </rPr>
      <t>[ A</t>
    </r>
    <r>
      <rPr>
        <i/>
        <vertAlign val="subscript"/>
        <sz val="11"/>
        <color theme="1"/>
        <rFont val="Cambria"/>
        <family val="1"/>
      </rPr>
      <t>sh2</t>
    </r>
    <r>
      <rPr>
        <i/>
        <sz val="11"/>
        <color theme="1"/>
        <rFont val="Cambria"/>
        <family val="1"/>
      </rPr>
      <t>/s</t>
    </r>
    <r>
      <rPr>
        <i/>
        <vertAlign val="subscript"/>
        <sz val="11"/>
        <color theme="1"/>
        <rFont val="Cambria"/>
        <family val="1"/>
      </rPr>
      <t>2</t>
    </r>
    <r>
      <rPr>
        <i/>
        <sz val="11"/>
        <color theme="1"/>
        <rFont val="Cambria"/>
        <family val="1"/>
      </rPr>
      <t>b</t>
    </r>
    <r>
      <rPr>
        <i/>
        <vertAlign val="subscript"/>
        <sz val="11"/>
        <color theme="1"/>
        <rFont val="Cambria"/>
        <family val="1"/>
      </rPr>
      <t xml:space="preserve">c2 </t>
    </r>
    <r>
      <rPr>
        <i/>
        <sz val="11"/>
        <color theme="1"/>
        <rFont val="Cambria"/>
        <family val="1"/>
      </rPr>
      <t>]</t>
    </r>
    <r>
      <rPr>
        <i/>
        <vertAlign val="subscript"/>
        <sz val="11"/>
        <color theme="1"/>
        <rFont val="Cambria"/>
        <family val="1"/>
      </rPr>
      <t>prov</t>
    </r>
    <r>
      <rPr>
        <sz val="11"/>
        <color theme="1"/>
        <rFont val="Futura Lt BT"/>
        <family val="2"/>
      </rPr>
      <t xml:space="preserve"> =</t>
    </r>
  </si>
  <si>
    <r>
      <t xml:space="preserve">Maximum spacing of laterally-supported longitudinal bars, </t>
    </r>
    <r>
      <rPr>
        <i/>
        <sz val="11"/>
        <color theme="1"/>
        <rFont val="Cambria"/>
        <family val="1"/>
      </rPr>
      <t>h</t>
    </r>
    <r>
      <rPr>
        <i/>
        <vertAlign val="subscript"/>
        <sz val="11"/>
        <color theme="1"/>
        <rFont val="Cambria"/>
        <family val="1"/>
      </rPr>
      <t>x2</t>
    </r>
    <r>
      <rPr>
        <sz val="11"/>
        <color theme="1"/>
        <rFont val="Futura Lt BT"/>
        <family val="2"/>
      </rPr>
      <t xml:space="preserve"> =</t>
    </r>
  </si>
  <si>
    <r>
      <t xml:space="preserve">Required reinforcement, </t>
    </r>
    <r>
      <rPr>
        <i/>
        <sz val="11"/>
        <color theme="1"/>
        <rFont val="Cambria"/>
        <family val="1"/>
      </rPr>
      <t>[ A</t>
    </r>
    <r>
      <rPr>
        <i/>
        <vertAlign val="subscript"/>
        <sz val="11"/>
        <color theme="1"/>
        <rFont val="Cambria"/>
        <family val="1"/>
      </rPr>
      <t>sh2</t>
    </r>
    <r>
      <rPr>
        <i/>
        <sz val="11"/>
        <color theme="1"/>
        <rFont val="Cambria"/>
        <family val="1"/>
      </rPr>
      <t>/s</t>
    </r>
    <r>
      <rPr>
        <i/>
        <vertAlign val="subscript"/>
        <sz val="11"/>
        <color theme="1"/>
        <rFont val="Cambria"/>
        <family val="1"/>
      </rPr>
      <t>2</t>
    </r>
    <r>
      <rPr>
        <i/>
        <sz val="11"/>
        <color theme="1"/>
        <rFont val="Cambria"/>
        <family val="1"/>
      </rPr>
      <t>b</t>
    </r>
    <r>
      <rPr>
        <i/>
        <vertAlign val="subscript"/>
        <sz val="11"/>
        <color theme="1"/>
        <rFont val="Cambria"/>
        <family val="1"/>
      </rPr>
      <t xml:space="preserve">c2 </t>
    </r>
    <r>
      <rPr>
        <i/>
        <sz val="11"/>
        <color theme="1"/>
        <rFont val="Cambria"/>
        <family val="1"/>
      </rPr>
      <t>]</t>
    </r>
    <r>
      <rPr>
        <i/>
        <vertAlign val="subscript"/>
        <sz val="11"/>
        <color theme="1"/>
        <rFont val="Cambria"/>
        <family val="1"/>
      </rPr>
      <t>req</t>
    </r>
    <r>
      <rPr>
        <sz val="11"/>
        <color theme="1"/>
        <rFont val="Futura Lt BT"/>
        <family val="2"/>
      </rPr>
      <t xml:space="preserve"> =</t>
    </r>
  </si>
  <si>
    <r>
      <t xml:space="preserve">Required spacing of reinforcement, </t>
    </r>
    <r>
      <rPr>
        <i/>
        <sz val="11"/>
        <color theme="1"/>
        <rFont val="Cambria"/>
        <family val="1"/>
      </rPr>
      <t>s</t>
    </r>
    <r>
      <rPr>
        <i/>
        <vertAlign val="subscript"/>
        <sz val="11"/>
        <color theme="1"/>
        <rFont val="Cambria"/>
        <family val="1"/>
      </rPr>
      <t>2req</t>
    </r>
    <r>
      <rPr>
        <sz val="11"/>
        <color theme="1"/>
        <rFont val="Futura Lt BT"/>
        <family val="2"/>
      </rPr>
      <t xml:space="preserve"> =</t>
    </r>
  </si>
  <si>
    <t>Shear Strength</t>
  </si>
  <si>
    <t>Shear capacity of reinforced section:</t>
  </si>
  <si>
    <r>
      <t xml:space="preserve">Gross area of wall section, </t>
    </r>
    <r>
      <rPr>
        <i/>
        <sz val="11"/>
        <color theme="1"/>
        <rFont val="Cambria"/>
        <family val="1"/>
      </rPr>
      <t>A</t>
    </r>
    <r>
      <rPr>
        <i/>
        <vertAlign val="subscript"/>
        <sz val="11"/>
        <color theme="1"/>
        <rFont val="Cambria"/>
        <family val="1"/>
      </rPr>
      <t>cv</t>
    </r>
    <r>
      <rPr>
        <sz val="11"/>
        <color theme="1"/>
        <rFont val="Futura Lt BT"/>
        <family val="2"/>
      </rPr>
      <t xml:space="preserve"> =</t>
    </r>
  </si>
  <si>
    <r>
      <t>mm</t>
    </r>
    <r>
      <rPr>
        <vertAlign val="superscript"/>
        <sz val="12"/>
        <color theme="1"/>
        <rFont val="Futura MdCn BT"/>
        <family val="2"/>
      </rPr>
      <t>2</t>
    </r>
  </si>
  <si>
    <r>
      <t xml:space="preserve">Concrete shear strength coefficient, </t>
    </r>
    <r>
      <rPr>
        <sz val="11"/>
        <color theme="1"/>
        <rFont val="Cambria"/>
        <family val="1"/>
      </rPr>
      <t>α</t>
    </r>
    <r>
      <rPr>
        <i/>
        <vertAlign val="subscript"/>
        <sz val="11"/>
        <color theme="1"/>
        <rFont val="Cambria"/>
        <family val="1"/>
      </rPr>
      <t>c</t>
    </r>
    <r>
      <rPr>
        <sz val="11"/>
        <color theme="1"/>
        <rFont val="Futura Lt BT"/>
        <family val="2"/>
      </rPr>
      <t xml:space="preserve"> =</t>
    </r>
  </si>
  <si>
    <r>
      <t xml:space="preserve">Shear capacity of reinforced section, </t>
    </r>
    <r>
      <rPr>
        <i/>
        <sz val="11"/>
        <color theme="1"/>
        <rFont val="Cambria"/>
        <family val="1"/>
      </rPr>
      <t>V</t>
    </r>
    <r>
      <rPr>
        <i/>
        <vertAlign val="subscript"/>
        <sz val="11"/>
        <color theme="1"/>
        <rFont val="Cambria"/>
        <family val="1"/>
      </rPr>
      <t>n</t>
    </r>
    <r>
      <rPr>
        <sz val="11"/>
        <color theme="1"/>
        <rFont val="Futura Lt BT"/>
        <family val="2"/>
      </rPr>
      <t xml:space="preserve"> =</t>
    </r>
  </si>
  <si>
    <t>Shear capacity limit of section:</t>
  </si>
  <si>
    <r>
      <t xml:space="preserve">Shear capacity limit of section, </t>
    </r>
    <r>
      <rPr>
        <i/>
        <sz val="11"/>
        <color theme="1"/>
        <rFont val="Cambria"/>
        <family val="1"/>
      </rPr>
      <t>V</t>
    </r>
    <r>
      <rPr>
        <i/>
        <vertAlign val="subscript"/>
        <sz val="11"/>
        <color theme="1"/>
        <rFont val="Cambria"/>
        <family val="1"/>
      </rPr>
      <t>n,limit</t>
    </r>
    <r>
      <rPr>
        <sz val="11"/>
        <color theme="1"/>
        <rFont val="Futura Lt BT"/>
        <family val="2"/>
      </rPr>
      <t xml:space="preserve"> =</t>
    </r>
  </si>
  <si>
    <r>
      <t xml:space="preserve">Nominal shear capacity, </t>
    </r>
    <r>
      <rPr>
        <i/>
        <sz val="11"/>
        <color theme="1"/>
        <rFont val="Cambria"/>
        <family val="1"/>
      </rPr>
      <t>V</t>
    </r>
    <r>
      <rPr>
        <i/>
        <vertAlign val="subscript"/>
        <sz val="11"/>
        <color theme="1"/>
        <rFont val="Cambria"/>
        <family val="1"/>
      </rPr>
      <t>n</t>
    </r>
    <r>
      <rPr>
        <sz val="11"/>
        <color theme="1"/>
        <rFont val="Futura Lt BT"/>
        <family val="2"/>
      </rPr>
      <t xml:space="preserve"> =</t>
    </r>
  </si>
  <si>
    <r>
      <t xml:space="preserve">Shear strength reduction factor, </t>
    </r>
    <r>
      <rPr>
        <sz val="11"/>
        <color theme="1"/>
        <rFont val="Cambria"/>
        <family val="1"/>
      </rPr>
      <t>ϕ</t>
    </r>
    <r>
      <rPr>
        <i/>
        <vertAlign val="subscript"/>
        <sz val="11"/>
        <color theme="1"/>
        <rFont val="Cambria"/>
        <family val="1"/>
      </rPr>
      <t>v</t>
    </r>
    <r>
      <rPr>
        <sz val="11"/>
        <color theme="1"/>
        <rFont val="Futura Lt BT"/>
        <family val="2"/>
      </rPr>
      <t xml:space="preserve"> =</t>
    </r>
  </si>
  <si>
    <r>
      <t xml:space="preserve">Ultimate shear capacity, </t>
    </r>
    <r>
      <rPr>
        <sz val="11"/>
        <color theme="1"/>
        <rFont val="Cambria"/>
        <family val="1"/>
      </rPr>
      <t>ϕ</t>
    </r>
    <r>
      <rPr>
        <i/>
        <sz val="11"/>
        <color theme="1"/>
        <rFont val="Cambria"/>
        <family val="1"/>
      </rPr>
      <t>V</t>
    </r>
    <r>
      <rPr>
        <i/>
        <vertAlign val="subscript"/>
        <sz val="11"/>
        <color theme="1"/>
        <rFont val="Cambria"/>
        <family val="1"/>
      </rPr>
      <t>n</t>
    </r>
    <r>
      <rPr>
        <sz val="11"/>
        <color theme="1"/>
        <rFont val="Futura Lt BT"/>
        <family val="2"/>
      </rPr>
      <t xml:space="preserve"> =</t>
    </r>
  </si>
  <si>
    <t>Shear Element Longitudinal &amp; Transverse Reinforcement</t>
  </si>
  <si>
    <r>
      <t xml:space="preserve">Provided longitudinal reinforcement, </t>
    </r>
    <r>
      <rPr>
        <sz val="11"/>
        <color theme="1"/>
        <rFont val="Cambria"/>
        <family val="1"/>
      </rPr>
      <t>ρ</t>
    </r>
    <r>
      <rPr>
        <i/>
        <vertAlign val="subscript"/>
        <sz val="11"/>
        <color theme="1"/>
        <rFont val="Cambria"/>
        <family val="1"/>
      </rPr>
      <t>lprov</t>
    </r>
    <r>
      <rPr>
        <sz val="11"/>
        <color theme="1"/>
        <rFont val="Futura Lt BT"/>
        <family val="2"/>
      </rPr>
      <t xml:space="preserve"> =</t>
    </r>
  </si>
  <si>
    <t>0.083=</t>
  </si>
  <si>
    <r>
      <t xml:space="preserve">Required longitudinal reinforcement, </t>
    </r>
    <r>
      <rPr>
        <sz val="11"/>
        <color theme="1"/>
        <rFont val="Cambria"/>
        <family val="1"/>
      </rPr>
      <t>ρ</t>
    </r>
    <r>
      <rPr>
        <i/>
        <vertAlign val="subscript"/>
        <sz val="11"/>
        <color theme="1"/>
        <rFont val="Cambria"/>
        <family val="1"/>
      </rPr>
      <t>lreq</t>
    </r>
    <r>
      <rPr>
        <sz val="11"/>
        <color theme="1"/>
        <rFont val="Futura Lt BT"/>
        <family val="2"/>
      </rPr>
      <t xml:space="preserve"> =</t>
    </r>
  </si>
  <si>
    <t>0.5(Phi)Vc=</t>
  </si>
  <si>
    <r>
      <t xml:space="preserve">Provided transverse reinforcement, </t>
    </r>
    <r>
      <rPr>
        <sz val="11"/>
        <color theme="1"/>
        <rFont val="Cambria"/>
        <family val="1"/>
      </rPr>
      <t>ρ</t>
    </r>
    <r>
      <rPr>
        <i/>
        <vertAlign val="subscript"/>
        <sz val="11"/>
        <color theme="1"/>
        <rFont val="Cambria"/>
        <family val="1"/>
      </rPr>
      <t>tprov</t>
    </r>
    <r>
      <rPr>
        <sz val="11"/>
        <color theme="1"/>
        <rFont val="Futura Lt BT"/>
        <family val="2"/>
      </rPr>
      <t xml:space="preserve"> =</t>
    </r>
  </si>
  <si>
    <t>0.17=</t>
  </si>
  <si>
    <r>
      <t xml:space="preserve">Required transverse reinforcement, </t>
    </r>
    <r>
      <rPr>
        <sz val="11"/>
        <color theme="1"/>
        <rFont val="Cambria"/>
        <family val="1"/>
      </rPr>
      <t>ρ</t>
    </r>
    <r>
      <rPr>
        <i/>
        <vertAlign val="subscript"/>
        <sz val="11"/>
        <color theme="1"/>
        <rFont val="Cambria"/>
        <family val="1"/>
      </rPr>
      <t>treq</t>
    </r>
    <r>
      <rPr>
        <sz val="11"/>
        <color theme="1"/>
        <rFont val="Futura Lt BT"/>
        <family val="2"/>
      </rPr>
      <t xml:space="preserve"> =</t>
    </r>
  </si>
  <si>
    <t>PIER</t>
  </si>
  <si>
    <t>V</t>
  </si>
  <si>
    <t>Story</t>
  </si>
  <si>
    <t>MCRM</t>
  </si>
  <si>
    <t>RD</t>
  </si>
  <si>
    <t>L49</t>
  </si>
  <si>
    <t>L48</t>
  </si>
  <si>
    <t>L47</t>
  </si>
  <si>
    <t>L45</t>
  </si>
  <si>
    <t>L44</t>
  </si>
  <si>
    <t>L43</t>
  </si>
  <si>
    <t>L41</t>
  </si>
  <si>
    <t>L40</t>
  </si>
  <si>
    <t>L39</t>
  </si>
  <si>
    <t>L37</t>
  </si>
  <si>
    <t>L36</t>
  </si>
  <si>
    <t>L35</t>
  </si>
  <si>
    <t>L33</t>
  </si>
  <si>
    <t>L32</t>
  </si>
  <si>
    <t>L31</t>
  </si>
  <si>
    <t>L29</t>
  </si>
  <si>
    <t>L28</t>
  </si>
  <si>
    <t>L27</t>
  </si>
  <si>
    <t>L26</t>
  </si>
  <si>
    <t>L24</t>
  </si>
  <si>
    <t>L23</t>
  </si>
  <si>
    <t>L22</t>
  </si>
  <si>
    <t>L20</t>
  </si>
  <si>
    <t>L19</t>
  </si>
  <si>
    <t>L18</t>
  </si>
  <si>
    <t>L16</t>
  </si>
  <si>
    <t>L15</t>
  </si>
  <si>
    <t>L14</t>
  </si>
  <si>
    <t>L12</t>
  </si>
  <si>
    <t>L11</t>
  </si>
  <si>
    <t>L10</t>
  </si>
  <si>
    <t>L8</t>
  </si>
  <si>
    <t>L7</t>
  </si>
  <si>
    <t>L6</t>
  </si>
  <si>
    <t>L4</t>
  </si>
  <si>
    <t>L3</t>
  </si>
  <si>
    <t>ROOF (GARDEN VILLA)</t>
  </si>
  <si>
    <t>L2 (TOWER)</t>
  </si>
  <si>
    <t>L2 (GARDEN VILLA)</t>
  </si>
  <si>
    <t>P10</t>
  </si>
  <si>
    <t>P2</t>
  </si>
  <si>
    <t>P4</t>
  </si>
  <si>
    <t>P5</t>
  </si>
  <si>
    <t>P6</t>
  </si>
  <si>
    <t>P7</t>
  </si>
  <si>
    <t>P8</t>
  </si>
  <si>
    <t>P9</t>
  </si>
  <si>
    <t>TABLE:  Story Definitions</t>
  </si>
  <si>
    <t>Name</t>
  </si>
  <si>
    <t>Height</t>
  </si>
  <si>
    <t/>
  </si>
  <si>
    <t>m</t>
  </si>
  <si>
    <t>fc'</t>
  </si>
  <si>
    <t>ksi</t>
  </si>
  <si>
    <t>Boundary Element 1</t>
  </si>
  <si>
    <t>Boundary Element 2</t>
  </si>
  <si>
    <t>Initial Inputs for Spreadsheet</t>
  </si>
  <si>
    <t>Load Combo</t>
  </si>
  <si>
    <t>(Mpa)</t>
  </si>
  <si>
    <t>hw</t>
  </si>
  <si>
    <t>(mm)</t>
  </si>
  <si>
    <t>h1</t>
  </si>
  <si>
    <t>lw1</t>
  </si>
  <si>
    <t>h2</t>
  </si>
  <si>
    <t>lw2</t>
  </si>
  <si>
    <t>h3</t>
  </si>
  <si>
    <t>lw3</t>
  </si>
  <si>
    <t>cc</t>
  </si>
  <si>
    <t>Concrete Cover</t>
  </si>
  <si>
    <t>fy</t>
  </si>
  <si>
    <t>Mpa</t>
  </si>
  <si>
    <t>nl1</t>
  </si>
  <si>
    <t>dl1</t>
  </si>
  <si>
    <t>Max Shear
Demand</t>
  </si>
  <si>
    <t>(kN)</t>
  </si>
  <si>
    <t>Load
Combo</t>
  </si>
  <si>
    <t>nl2</t>
  </si>
  <si>
    <t>dl2</t>
  </si>
  <si>
    <t>Shear Element</t>
  </si>
  <si>
    <t>(m)</t>
  </si>
  <si>
    <t>no1</t>
  </si>
  <si>
    <t>ni1</t>
  </si>
  <si>
    <t>Along Y</t>
  </si>
  <si>
    <t>Along X</t>
  </si>
  <si>
    <t>Shearwall
Designation</t>
  </si>
  <si>
    <t>do and di</t>
  </si>
  <si>
    <t>s1</t>
  </si>
  <si>
    <t>Hoops</t>
  </si>
  <si>
    <t>ni2</t>
  </si>
  <si>
    <t>no2</t>
  </si>
  <si>
    <t>s2</t>
  </si>
  <si>
    <t>ncl</t>
  </si>
  <si>
    <t>dl</t>
  </si>
  <si>
    <t>sl</t>
  </si>
  <si>
    <t>nct</t>
  </si>
  <si>
    <t>dt</t>
  </si>
  <si>
    <t>st</t>
  </si>
  <si>
    <t>Longitudinal</t>
  </si>
  <si>
    <t>Transverse</t>
  </si>
  <si>
    <t>Spacing X</t>
  </si>
  <si>
    <t>Spacing Y</t>
  </si>
  <si>
    <t>max Spacing</t>
  </si>
  <si>
    <t>SW-4</t>
  </si>
  <si>
    <t>SW-2</t>
  </si>
  <si>
    <t>Remarks</t>
  </si>
  <si>
    <t>ROCKWELL IPI - RESIDENTIAL</t>
  </si>
  <si>
    <t>Kevin M. Melendres</t>
  </si>
  <si>
    <t>Total Bars
Reqd for
Ductility</t>
  </si>
  <si>
    <t>Required Bars
per Boundary
Element</t>
  </si>
  <si>
    <t>Adjust?</t>
  </si>
  <si>
    <t>Diameter</t>
  </si>
  <si>
    <t>Pcs</t>
  </si>
  <si>
    <t>Bar Adjustment</t>
  </si>
  <si>
    <t>number</t>
  </si>
  <si>
    <t>Required Vert Bar
Steel Area</t>
  </si>
  <si>
    <t>Steel Area</t>
  </si>
  <si>
    <t>SW-5</t>
  </si>
  <si>
    <t>SW-6</t>
  </si>
  <si>
    <t>Whole</t>
  </si>
  <si>
    <t>Half</t>
  </si>
  <si>
    <t xml:space="preserve"> </t>
  </si>
  <si>
    <t>L50-MCRM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</si>
</sst>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3409]mmmm\ dd\,\ yyyy;@"/>
    <numFmt numFmtId="165" formatCode="0.0000"/>
  </numFmts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Futura Lt BT"/>
      <family val="2"/>
    </font>
    <font>
      <sz val="12"/>
      <color theme="1"/>
      <name val="Futura MdCn BT"/>
      <family val="2"/>
    </font>
    <font>
      <sz val="11"/>
      <color rgb="FFFF0000"/>
      <name val="Futura Lt BT"/>
      <family val="2"/>
    </font>
    <font>
      <sz val="16"/>
      <color theme="1"/>
      <name val="Futura Md BT"/>
      <family val="2"/>
    </font>
    <font>
      <sz val="8"/>
      <color rgb="FFFF0000"/>
      <name val="Neuropol"/>
      <family val="2"/>
    </font>
    <font>
      <sz val="13"/>
      <color theme="1"/>
      <name val="Futura Lt BT"/>
      <family val="2"/>
    </font>
    <font>
      <sz val="12"/>
      <color theme="1"/>
      <name val="Futura Lt BT"/>
      <family val="2"/>
    </font>
    <font>
      <sz val="11"/>
      <color theme="1"/>
      <name val="Futura Md BT"/>
      <family val="2"/>
    </font>
    <font>
      <sz val="10.5"/>
      <color theme="1"/>
      <name val="Futura Lt BT"/>
      <family val="2"/>
    </font>
    <font>
      <sz val="10"/>
      <color theme="1"/>
      <name val="Futura Lt BT"/>
      <family val="2"/>
    </font>
    <font>
      <i/>
      <sz val="11"/>
      <color theme="1"/>
      <name val="Cambria"/>
      <family val="1"/>
    </font>
    <font>
      <i/>
      <vertAlign val="subscript"/>
      <sz val="11"/>
      <color theme="1"/>
      <name val="Cambria"/>
      <family val="1"/>
    </font>
    <font>
      <sz val="10.5"/>
      <color theme="1"/>
      <name val="Futura MdCn BT"/>
      <family val="2"/>
    </font>
    <font>
      <sz val="11"/>
      <color theme="1"/>
      <name val="Futura MdCn BT"/>
      <family val="2"/>
    </font>
    <font>
      <vertAlign val="superscript"/>
      <sz val="12"/>
      <color theme="1"/>
      <name val="Futura MdCn BT"/>
      <family val="2"/>
    </font>
    <font>
      <sz val="11"/>
      <color theme="1"/>
      <name val="Cambria"/>
      <family val="1"/>
    </font>
    <font>
      <sz val="11"/>
      <color theme="0"/>
      <name val="Futura Md BT"/>
      <family val="2"/>
    </font>
    <font>
      <sz val="10"/>
      <color theme="0"/>
      <name val="Futura Lt BT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-0.49998474074526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0" fontId="10" fillId="3" borderId="0" xfId="0" applyFont="1" applyFill="1" applyAlignment="1" applyProtection="1">
      <alignment vertical="center"/>
      <protection locked="0"/>
    </xf>
    <xf numFmtId="0" fontId="10" fillId="3" borderId="0" xfId="0" applyFont="1" applyFill="1" applyAlignment="1">
      <alignment vertical="center"/>
    </xf>
    <xf numFmtId="22" fontId="9" fillId="3" borderId="0" xfId="0" applyNumberFormat="1" applyFont="1" applyFill="1" applyAlignment="1">
      <alignment vertical="center"/>
    </xf>
    <xf numFmtId="2" fontId="5" fillId="3" borderId="0" xfId="0" applyNumberFormat="1" applyFont="1" applyFill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3" fontId="5" fillId="3" borderId="0" xfId="0" applyNumberFormat="1" applyFont="1" applyFill="1" applyAlignment="1">
      <alignment vertical="center"/>
    </xf>
    <xf numFmtId="0" fontId="12" fillId="4" borderId="0" xfId="0" applyFont="1" applyFill="1" applyAlignment="1" applyProtection="1">
      <alignment horizontal="center" vertical="center"/>
      <protection locked="0"/>
    </xf>
    <xf numFmtId="4" fontId="12" fillId="3" borderId="0" xfId="0" applyNumberFormat="1" applyFont="1" applyFill="1" applyAlignment="1" applyProtection="1">
      <alignment vertical="center"/>
      <protection locked="0"/>
    </xf>
    <xf numFmtId="4" fontId="12" fillId="4" borderId="0" xfId="0" applyNumberFormat="1" applyFont="1" applyFill="1" applyAlignment="1" applyProtection="1">
      <alignment horizontal="center" vertical="center"/>
      <protection locked="0"/>
    </xf>
    <xf numFmtId="4" fontId="12" fillId="3" borderId="0" xfId="0" applyNumberFormat="1" applyFont="1" applyFill="1" applyAlignment="1">
      <alignment horizontal="center" vertical="center"/>
    </xf>
    <xf numFmtId="1" fontId="12" fillId="3" borderId="0" xfId="0" applyNumberFormat="1" applyFont="1" applyFill="1" applyAlignment="1">
      <alignment horizontal="center" vertical="center"/>
    </xf>
    <xf numFmtId="2" fontId="12" fillId="3" borderId="0" xfId="0" applyNumberFormat="1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1" fontId="12" fillId="4" borderId="0" xfId="0" applyNumberFormat="1" applyFont="1" applyFill="1" applyAlignment="1" applyProtection="1">
      <alignment horizontal="center" vertical="center"/>
      <protection locked="0"/>
    </xf>
    <xf numFmtId="4" fontId="5" fillId="3" borderId="0" xfId="0" applyNumberFormat="1" applyFont="1" applyFill="1" applyAlignment="1">
      <alignment vertical="center"/>
    </xf>
    <xf numFmtId="1" fontId="12" fillId="3" borderId="0" xfId="0" applyNumberFormat="1" applyFont="1" applyFill="1" applyAlignment="1" applyProtection="1">
      <alignment horizontal="center" vertical="center"/>
      <protection locked="0"/>
    </xf>
    <xf numFmtId="0" fontId="15" fillId="3" borderId="0" xfId="0" applyFont="1" applyFill="1" applyAlignment="1">
      <alignment horizontal="center" vertical="center"/>
    </xf>
    <xf numFmtId="2" fontId="16" fillId="4" borderId="0" xfId="0" applyNumberFormat="1" applyFont="1" applyFill="1" applyAlignment="1">
      <alignment horizontal="center" vertical="center"/>
    </xf>
    <xf numFmtId="2" fontId="12" fillId="3" borderId="0" xfId="0" applyNumberFormat="1" applyFont="1" applyFill="1" applyAlignment="1">
      <alignment vertical="center"/>
    </xf>
    <xf numFmtId="2" fontId="11" fillId="4" borderId="0" xfId="0" applyNumberFormat="1" applyFont="1" applyFill="1" applyAlignment="1">
      <alignment horizontal="center" vertical="center"/>
    </xf>
    <xf numFmtId="2" fontId="12" fillId="4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65" fontId="12" fillId="4" borderId="0" xfId="0" applyNumberFormat="1" applyFont="1" applyFill="1" applyAlignment="1">
      <alignment horizontal="center" vertical="center"/>
    </xf>
    <xf numFmtId="165" fontId="12" fillId="3" borderId="0" xfId="0" applyNumberFormat="1" applyFont="1" applyFill="1" applyAlignment="1">
      <alignment vertical="center"/>
    </xf>
    <xf numFmtId="16" fontId="5" fillId="3" borderId="0" xfId="0" quotePrefix="1" applyNumberFormat="1" applyFont="1" applyFill="1" applyAlignment="1">
      <alignment vertical="center"/>
    </xf>
    <xf numFmtId="0" fontId="5" fillId="3" borderId="0" xfId="0" quotePrefix="1" applyFont="1" applyFill="1" applyAlignment="1">
      <alignment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9" fillId="6" borderId="4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7" xfId="0" applyFont="1" applyFill="1" applyBorder="1" applyAlignment="1">
      <alignment horizontal="center" vertical="center"/>
    </xf>
    <xf numFmtId="0" fontId="12" fillId="7" borderId="8" xfId="0" applyFont="1" applyFill="1" applyBorder="1"/>
    <xf numFmtId="0" fontId="12" fillId="7" borderId="9" xfId="0" applyFont="1" applyFill="1" applyBorder="1"/>
    <xf numFmtId="4" fontId="16" fillId="4" borderId="10" xfId="0" applyNumberFormat="1" applyFont="1" applyFill="1" applyBorder="1" applyAlignment="1">
      <alignment horizontal="center" vertical="center"/>
    </xf>
    <xf numFmtId="0" fontId="12" fillId="7" borderId="11" xfId="0" applyFont="1" applyFill="1" applyBorder="1"/>
    <xf numFmtId="0" fontId="12" fillId="7" borderId="12" xfId="0" applyFont="1" applyFill="1" applyBorder="1"/>
    <xf numFmtId="4" fontId="16" fillId="4" borderId="13" xfId="0" applyNumberFormat="1" applyFont="1" applyFill="1" applyBorder="1" applyAlignment="1">
      <alignment horizontal="center" vertical="center"/>
    </xf>
    <xf numFmtId="0" fontId="0" fillId="0" borderId="0" xfId="0"/>
    <xf numFmtId="0" fontId="0" fillId="8" borderId="0" xfId="0" applyFill="1"/>
    <xf numFmtId="49" fontId="1" fillId="8" borderId="0" xfId="0" applyNumberFormat="1" applyFont="1" applyFill="1"/>
    <xf numFmtId="49" fontId="0" fillId="0" borderId="0" xfId="0" applyNumberFormat="1"/>
    <xf numFmtId="49" fontId="1" fillId="9" borderId="15" xfId="0" applyNumberFormat="1" applyFont="1" applyFill="1" applyBorder="1" applyAlignment="1">
      <alignment horizontal="center"/>
    </xf>
    <xf numFmtId="0" fontId="1" fillId="9" borderId="15" xfId="0" applyFont="1" applyFill="1" applyBorder="1" applyAlignment="1">
      <alignment horizontal="center"/>
    </xf>
    <xf numFmtId="49" fontId="0" fillId="9" borderId="14" xfId="0" applyNumberForma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 applyFill="1" applyAlignment="1">
      <alignment horizontal="center"/>
    </xf>
    <xf numFmtId="0" fontId="0" fillId="0" borderId="0" xfId="0" applyAlignment="1">
      <alignment horizontal="right" vertical="center"/>
    </xf>
    <xf numFmtId="0" fontId="0" fillId="10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16" xfId="0" applyBorder="1" applyAlignment="1">
      <alignment horizontal="center"/>
    </xf>
    <xf numFmtId="0" fontId="0" fillId="0" borderId="16" xfId="0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4" borderId="0" xfId="0" applyFont="1" applyFill="1" applyAlignment="1" applyProtection="1">
      <alignment horizontal="center" vertical="center"/>
      <protection locked="0"/>
    </xf>
    <xf numFmtId="4" fontId="12" fillId="4" borderId="0" xfId="0" applyNumberFormat="1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>
      <alignment horizontal="center" vertical="center"/>
    </xf>
    <xf numFmtId="4" fontId="12" fillId="3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1" fillId="3" borderId="0" xfId="0" applyFont="1" applyFill="1" applyAlignment="1" applyProtection="1">
      <alignment horizontal="left" vertical="center"/>
      <protection locked="0"/>
    </xf>
    <xf numFmtId="0" fontId="3" fillId="3" borderId="0" xfId="0" applyFont="1" applyFill="1" applyAlignment="1">
      <alignment horizontal="left" vertical="center"/>
    </xf>
    <xf numFmtId="164" fontId="11" fillId="3" borderId="0" xfId="0" applyNumberFormat="1" applyFont="1" applyFill="1" applyAlignment="1" applyProtection="1">
      <alignment horizontal="left" vertical="center"/>
      <protection locked="0"/>
    </xf>
    <xf numFmtId="0" fontId="12" fillId="3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>
      <alignment horizontal="center" vertical="center"/>
    </xf>
    <xf numFmtId="4" fontId="12" fillId="4" borderId="0" xfId="0" applyNumberFormat="1" applyFont="1" applyFill="1" applyAlignment="1">
      <alignment horizontal="center" vertical="center"/>
    </xf>
    <xf numFmtId="3" fontId="12" fillId="4" borderId="0" xfId="0" applyNumberFormat="1" applyFont="1" applyFill="1" applyAlignment="1" applyProtection="1">
      <alignment horizontal="center" vertical="center"/>
      <protection locked="0"/>
    </xf>
    <xf numFmtId="3" fontId="12" fillId="3" borderId="0" xfId="0" applyNumberFormat="1" applyFont="1" applyFill="1" applyAlignment="1" applyProtection="1">
      <alignment horizontal="center" vertical="center"/>
      <protection locked="0"/>
    </xf>
    <xf numFmtId="1" fontId="12" fillId="3" borderId="0" xfId="0" applyNumberFormat="1" applyFont="1" applyFill="1" applyAlignment="1" applyProtection="1">
      <alignment horizontal="center" vertical="center"/>
      <protection locked="0"/>
    </xf>
    <xf numFmtId="2" fontId="12" fillId="3" borderId="0" xfId="0" applyNumberFormat="1" applyFont="1" applyFill="1" applyAlignment="1" applyProtection="1">
      <alignment horizontal="center" vertical="center"/>
      <protection locked="0"/>
    </xf>
    <xf numFmtId="2" fontId="12" fillId="4" borderId="0" xfId="0" applyNumberFormat="1" applyFont="1" applyFill="1" applyAlignment="1" applyProtection="1">
      <alignment horizontal="center" vertical="center"/>
      <protection locked="0"/>
    </xf>
    <xf numFmtId="1" fontId="12" fillId="4" borderId="0" xfId="0" applyNumberFormat="1" applyFont="1" applyFill="1" applyAlignment="1" applyProtection="1">
      <alignment horizontal="center" vertical="center"/>
      <protection locked="0"/>
    </xf>
    <xf numFmtId="1" fontId="12" fillId="4" borderId="0" xfId="0" applyNumberFormat="1" applyFont="1" applyFill="1" applyAlignment="1">
      <alignment horizontal="center" vertical="center"/>
    </xf>
    <xf numFmtId="2" fontId="12" fillId="3" borderId="0" xfId="0" applyNumberFormat="1" applyFont="1" applyFill="1" applyAlignment="1">
      <alignment horizontal="center" vertical="center"/>
    </xf>
    <xf numFmtId="2" fontId="12" fillId="4" borderId="0" xfId="0" applyNumberFormat="1" applyFont="1" applyFill="1" applyAlignment="1">
      <alignment horizontal="center" vertical="center"/>
    </xf>
    <xf numFmtId="1" fontId="12" fillId="3" borderId="0" xfId="0" applyNumberFormat="1" applyFont="1" applyFill="1" applyAlignment="1">
      <alignment horizontal="center" vertical="center"/>
    </xf>
    <xf numFmtId="3" fontId="12" fillId="4" borderId="0" xfId="0" applyNumberFormat="1" applyFont="1" applyFill="1" applyAlignment="1">
      <alignment horizontal="center" vertical="center"/>
    </xf>
    <xf numFmtId="165" fontId="12" fillId="4" borderId="0" xfId="0" applyNumberFormat="1" applyFont="1" applyFill="1" applyAlignment="1">
      <alignment horizontal="center" vertical="center"/>
    </xf>
    <xf numFmtId="165" fontId="12" fillId="3" borderId="0" xfId="0" applyNumberFormat="1" applyFont="1" applyFill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9" fillId="6" borderId="3" xfId="0" applyFont="1" applyFill="1" applyBorder="1" applyAlignment="1">
      <alignment horizontal="center" vertical="center"/>
    </xf>
  </cellXfs>
  <cellStyles count="1">
    <cellStyle name="Normal" xfId="0" builtinId="0"/>
  </cellStyles>
  <dxfs count="19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390525</xdr:colOff>
          <xdr:row>0</xdr:row>
          <xdr:rowOff>114300</xdr:rowOff>
        </xdr:from>
        <xdr:to>
          <xdr:col>18</xdr:col>
          <xdr:colOff>314325</xdr:colOff>
          <xdr:row>2</xdr:row>
          <xdr:rowOff>171450</xdr:rowOff>
        </xdr:to>
        <xdr:sp macro="" textlink="">
          <xdr:nvSpPr>
            <xdr:cNvPr id="2050" name="OrganizeDat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619125</xdr:colOff>
          <xdr:row>0</xdr:row>
          <xdr:rowOff>95250</xdr:rowOff>
        </xdr:from>
        <xdr:to>
          <xdr:col>20</xdr:col>
          <xdr:colOff>57150</xdr:colOff>
          <xdr:row>2</xdr:row>
          <xdr:rowOff>152400</xdr:rowOff>
        </xdr:to>
        <xdr:sp macro="" textlink="">
          <xdr:nvSpPr>
            <xdr:cNvPr id="2051" name="DesignSWDuctilit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7</xdr:row>
      <xdr:rowOff>9527</xdr:rowOff>
    </xdr:from>
    <xdr:to>
      <xdr:col>19</xdr:col>
      <xdr:colOff>0</xdr:colOff>
      <xdr:row>28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DE405BA-1EDF-4480-AC5E-02651D1149DE}"/>
            </a:ext>
          </a:extLst>
        </xdr:cNvPr>
        <xdr:cNvSpPr/>
      </xdr:nvSpPr>
      <xdr:spPr>
        <a:xfrm>
          <a:off x="4429125" y="1485902"/>
          <a:ext cx="2724150" cy="4029074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oneCellAnchor>
    <xdr:from>
      <xdr:col>4</xdr:col>
      <xdr:colOff>57150</xdr:colOff>
      <xdr:row>111</xdr:row>
      <xdr:rowOff>190500</xdr:rowOff>
    </xdr:from>
    <xdr:ext cx="2571750" cy="323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E818E3DA-80F8-44EE-B7E7-D57B7062E521}"/>
                </a:ext>
              </a:extLst>
            </xdr:cNvPr>
            <xdr:cNvSpPr txBox="1"/>
          </xdr:nvSpPr>
          <xdr:spPr>
            <a:xfrm>
              <a:off x="847725" y="21650325"/>
              <a:ext cx="2571750" cy="3238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PH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nr</m:t>
                        </m:r>
                      </m:sub>
                    </m:sSub>
                    <m:r>
                      <m:rPr>
                        <m:nor/>
                      </m:rPr>
                      <a:rPr lang="en-PH" sz="1100" b="0" i="1">
                        <a:latin typeface="Cambria" panose="02040503050406030204" pitchFamily="18" charset="0"/>
                        <a:ea typeface="Cambria" panose="02040503050406030204" pitchFamily="18" charset="0"/>
                      </a:rPr>
                      <m:t> = </m:t>
                    </m:r>
                    <m:sSub>
                      <m:sSubPr>
                        <m:ctrlPr>
                          <a:rPr lang="en-PH" sz="1100" b="0" i="1">
                            <a:latin typeface="Cambria Math" panose="02040503050406030204" pitchFamily="18" charset="0"/>
                            <a:ea typeface="Cambria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cv</m:t>
                        </m:r>
                      </m:sub>
                    </m:sSub>
                    <m:d>
                      <m:dPr>
                        <m:ctrlPr>
                          <a:rPr lang="en-PH" sz="1100" b="0" i="1">
                            <a:latin typeface="Cambria Math" panose="02040503050406030204" pitchFamily="18" charset="0"/>
                            <a:ea typeface="Cambria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PH" sz="1100" b="0" i="1">
                                <a:latin typeface="Cambria Math" panose="02040503050406030204" pitchFamily="18" charset="0"/>
                                <a:ea typeface="Cambria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α</m:t>
                            </m:r>
                          </m:e>
                          <m:sub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c</m:t>
                            </m:r>
                          </m:sub>
                        </m:sSub>
                        <m:rad>
                          <m:radPr>
                            <m:degHide m:val="on"/>
                            <m:ctrlPr>
                              <a:rPr lang="en-PH" sz="1100" b="0" i="1">
                                <a:latin typeface="Cambria Math" panose="02040503050406030204" pitchFamily="18" charset="0"/>
                                <a:ea typeface="Cambria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n-PH" sz="1100" b="0" i="1">
                                    <a:latin typeface="Cambria Math" panose="02040503050406030204" pitchFamily="18" charset="0"/>
                                    <a:ea typeface="Cambria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nor/>
                                  </m:rPr>
                                  <a:rPr lang="en-PH" sz="1100" b="0" i="1">
                                    <a:latin typeface="Cambria" panose="02040503050406030204" pitchFamily="18" charset="0"/>
                                    <a:ea typeface="Cambria" panose="02040503050406030204" pitchFamily="18" charset="0"/>
                                  </a:rPr>
                                  <m:t>f</m:t>
                                </m:r>
                                <m:r>
                                  <m:rPr>
                                    <m:nor/>
                                  </m:rPr>
                                  <a:rPr lang="en-PH" sz="1100" b="0" i="1">
                                    <a:latin typeface="Cambria" panose="02040503050406030204" pitchFamily="18" charset="0"/>
                                    <a:ea typeface="Cambria" panose="02040503050406030204" pitchFamily="18" charset="0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m:rPr>
                                    <m:nor/>
                                  </m:rPr>
                                  <a:rPr lang="en-PH" sz="1100" b="0" i="1">
                                    <a:latin typeface="Cambria" panose="02040503050406030204" pitchFamily="18" charset="0"/>
                                    <a:ea typeface="Cambria" panose="02040503050406030204" pitchFamily="18" charset="0"/>
                                  </a:rPr>
                                  <m:t>c</m:t>
                                </m:r>
                              </m:sub>
                            </m:sSub>
                          </m:e>
                        </m:rad>
                        <m:r>
                          <m:rPr>
                            <m:nor/>
                          </m:rPr>
                          <a:rPr lang="en-PH" sz="1100" b="0" i="1">
                            <a:latin typeface="Cambria Math" panose="02040503050406030204" pitchFamily="18" charset="0"/>
                            <a:ea typeface="Cambria" panose="02040503050406030204" pitchFamily="18" charset="0"/>
                          </a:rPr>
                          <m:t> </m:t>
                        </m:r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PH" sz="1100" b="0" i="1">
                                <a:latin typeface="Cambria Math" panose="02040503050406030204" pitchFamily="18" charset="0"/>
                                <a:ea typeface="Cambria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 Math" panose="02040503050406030204" pitchFamily="18" charset="0"/>
                                <a:ea typeface="Cambria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ρ</m:t>
                            </m:r>
                          </m:e>
                          <m:sub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t</m:t>
                            </m:r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 </m:t>
                            </m:r>
                          </m:sub>
                        </m:sSub>
                        <m:sSub>
                          <m:sSubPr>
                            <m:ctrlPr>
                              <a:rPr lang="en-PH" sz="1100" b="0" i="1">
                                <a:latin typeface="Cambria Math" panose="02040503050406030204" pitchFamily="18" charset="0"/>
                                <a:ea typeface="Cambria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f</m:t>
                            </m:r>
                          </m:e>
                          <m:sub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yt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PH" sz="1100" i="1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:a14="http://schemas.microsoft.com/office/drawing/2010/main" xmlns="" id="{E818E3DA-80F8-44EE-B7E7-D57B7062E521}"/>
                </a:ext>
              </a:extLst>
            </xdr:cNvPr>
            <xdr:cNvSpPr txBox="1"/>
          </xdr:nvSpPr>
          <xdr:spPr>
            <a:xfrm>
              <a:off x="847725" y="21650325"/>
              <a:ext cx="2571750" cy="3238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:r>
                <a:rPr lang="en-PH" sz="1100" b="0" i="0">
                  <a:latin typeface="Cambria" panose="02040503050406030204" pitchFamily="18" charset="0"/>
                </a:rPr>
                <a:t>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V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</a:t>
              </a:r>
              <a:r>
                <a:rPr lang="en-PH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nr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" = " </a:t>
              </a:r>
              <a:r>
                <a:rPr lang="en-PH" sz="1100" b="0" i="0">
                  <a:latin typeface="Cambria" panose="02040503050406030204" pitchFamily="18" charset="0"/>
                </a:rPr>
                <a:t>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A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cv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</a:t>
              </a:r>
              <a:r>
                <a:rPr lang="en-PH" sz="1100" b="0" i="0">
                  <a:latin typeface="Cambria Math" panose="02040503050406030204" pitchFamily="18" charset="0"/>
                </a:rPr>
                <a:t>("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α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c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√(〖"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f′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〗_"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c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) " 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+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〖" 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ρ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〗_"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t 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f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yt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)</a:t>
              </a:r>
              <a:endParaRPr lang="en-PH" sz="1100" i="1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4</xdr:col>
      <xdr:colOff>57150</xdr:colOff>
      <xdr:row>114</xdr:row>
      <xdr:rowOff>152400</xdr:rowOff>
    </xdr:from>
    <xdr:ext cx="2571750" cy="323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3928AE5-8D14-4C7C-B52A-1FF12852E964}"/>
                </a:ext>
              </a:extLst>
            </xdr:cNvPr>
            <xdr:cNvSpPr txBox="1"/>
          </xdr:nvSpPr>
          <xdr:spPr>
            <a:xfrm>
              <a:off x="847725" y="22269450"/>
              <a:ext cx="2571750" cy="3238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PH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n</m:t>
                        </m:r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,</m:t>
                        </m:r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limit</m:t>
                        </m:r>
                      </m:sub>
                    </m:sSub>
                    <m:r>
                      <m:rPr>
                        <m:nor/>
                      </m:rPr>
                      <a:rPr lang="en-PH" sz="1100" b="0" i="1">
                        <a:latin typeface="Cambria" panose="02040503050406030204" pitchFamily="18" charset="0"/>
                        <a:ea typeface="Cambria" panose="02040503050406030204" pitchFamily="18" charset="0"/>
                      </a:rPr>
                      <m:t> = 0.83 </m:t>
                    </m:r>
                    <m:sSub>
                      <m:sSubPr>
                        <m:ctrlPr>
                          <a:rPr lang="en-PH" sz="1100" b="0" i="1">
                            <a:latin typeface="Cambria Math" panose="02040503050406030204" pitchFamily="18" charset="0"/>
                            <a:ea typeface="Cambria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cv</m:t>
                        </m:r>
                      </m:sub>
                    </m:sSub>
                    <m:r>
                      <m:rPr>
                        <m:nor/>
                      </m:rPr>
                      <a:rPr lang="en-PH" sz="1100" b="0" i="0">
                        <a:latin typeface="Cambria" panose="02040503050406030204" pitchFamily="18" charset="0"/>
                        <a:ea typeface="Cambria" panose="02040503050406030204" pitchFamily="18" charset="0"/>
                      </a:rPr>
                      <m:t> </m:t>
                    </m:r>
                    <m:rad>
                      <m:radPr>
                        <m:degHide m:val="on"/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" panose="02040503050406030204" pitchFamily="18" charset="0"/>
                                <a:ea typeface="Cambria" panose="02040503050406030204" pitchFamily="18" charset="0"/>
                                <a:cs typeface="+mn-cs"/>
                              </a:rPr>
                              <m:t>f</m:t>
                            </m:r>
                            <m:r>
                              <m:rPr>
                                <m:nor/>
                              </m:rP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" panose="02040503050406030204" pitchFamily="18" charset="0"/>
                                <a:ea typeface="Cambria" panose="02040503050406030204" pitchFamily="18" charset="0"/>
                                <a:cs typeface="+mn-cs"/>
                              </a:rPr>
                              <m:t>′</m:t>
                            </m:r>
                          </m:e>
                          <m:sub>
                            <m:r>
                              <m:rPr>
                                <m:nor/>
                              </m:rP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" panose="02040503050406030204" pitchFamily="18" charset="0"/>
                                <a:ea typeface="Cambria" panose="02040503050406030204" pitchFamily="18" charset="0"/>
                                <a:cs typeface="+mn-cs"/>
                              </a:rPr>
                              <m:t>c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n-PH" sz="1100" i="1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:a14="http://schemas.microsoft.com/office/drawing/2010/main" xmlns="" id="{B3928AE5-8D14-4C7C-B52A-1FF12852E964}"/>
                </a:ext>
              </a:extLst>
            </xdr:cNvPr>
            <xdr:cNvSpPr txBox="1"/>
          </xdr:nvSpPr>
          <xdr:spPr>
            <a:xfrm>
              <a:off x="847725" y="22269450"/>
              <a:ext cx="2571750" cy="3238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:r>
                <a:rPr lang="en-PH" sz="1100" b="0" i="0">
                  <a:latin typeface="Cambria" panose="02040503050406030204" pitchFamily="18" charset="0"/>
                </a:rPr>
                <a:t>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V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</a:t>
              </a:r>
              <a:r>
                <a:rPr lang="en-PH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n,limit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" = 0.83 " </a:t>
              </a:r>
              <a:r>
                <a:rPr lang="en-PH" sz="1100" b="0" i="0">
                  <a:latin typeface="Cambria" panose="02040503050406030204" pitchFamily="18" charset="0"/>
                </a:rPr>
                <a:t>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A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cv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" 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√(〖"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" panose="02040503050406030204" pitchFamily="18" charset="0"/>
                  <a:ea typeface="Cambria" panose="02040503050406030204" pitchFamily="18" charset="0"/>
                  <a:cs typeface="+mn-cs"/>
                </a:rPr>
                <a:t>f′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" panose="02040503050406030204" pitchFamily="18" charset="0"/>
                  <a:cs typeface="+mn-cs"/>
                </a:rPr>
                <a:t>" 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〗_"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" panose="02040503050406030204" pitchFamily="18" charset="0"/>
                  <a:ea typeface="Cambria" panose="02040503050406030204" pitchFamily="18" charset="0"/>
                  <a:cs typeface="+mn-cs"/>
                </a:rPr>
                <a:t>c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" panose="02040503050406030204" pitchFamily="18" charset="0"/>
                  <a:cs typeface="+mn-cs"/>
                </a:rPr>
                <a:t>"  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PH" sz="1100" i="1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3</xdr:col>
      <xdr:colOff>0</xdr:colOff>
      <xdr:row>117</xdr:row>
      <xdr:rowOff>0</xdr:rowOff>
    </xdr:from>
    <xdr:ext cx="2571750" cy="219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B251693A-3DFD-4079-AC9C-C3C9FCC75C83}"/>
                </a:ext>
              </a:extLst>
            </xdr:cNvPr>
            <xdr:cNvSpPr txBox="1"/>
          </xdr:nvSpPr>
          <xdr:spPr>
            <a:xfrm>
              <a:off x="609600" y="22755225"/>
              <a:ext cx="2571750" cy="219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PH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n</m:t>
                        </m:r>
                      </m:sub>
                    </m:sSub>
                    <m:r>
                      <m:rPr>
                        <m:nor/>
                      </m:rPr>
                      <a:rPr lang="en-PH" sz="1100" b="0" i="1">
                        <a:latin typeface="Cambria" panose="02040503050406030204" pitchFamily="18" charset="0"/>
                        <a:ea typeface="Cambria" panose="02040503050406030204" pitchFamily="18" charset="0"/>
                      </a:rPr>
                      <m:t> = </m:t>
                    </m:r>
                    <m:r>
                      <m:rPr>
                        <m:nor/>
                      </m:rPr>
                      <a:rPr lang="en-PH" sz="1100" b="0" i="1">
                        <a:latin typeface="Cambria" panose="02040503050406030204" pitchFamily="18" charset="0"/>
                        <a:ea typeface="Cambria" panose="02040503050406030204" pitchFamily="18" charset="0"/>
                      </a:rPr>
                      <m:t>Min</m:t>
                    </m:r>
                    <m:d>
                      <m:dPr>
                        <m:begChr m:val="{"/>
                        <m:endChr m:val="}"/>
                        <m:ctrlPr>
                          <a:rPr lang="en-PH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PH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nr</m:t>
                            </m:r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 </m:t>
                            </m:r>
                          </m:sub>
                        </m:sSub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, </m:t>
                        </m:r>
                        <m:sSub>
                          <m:sSubPr>
                            <m:ctrlPr>
                              <a:rPr lang="en-PH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n</m:t>
                            </m:r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,</m:t>
                            </m:r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limit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PH" sz="1100" i="1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:a14="http://schemas.microsoft.com/office/drawing/2010/main" xmlns="" id="{B251693A-3DFD-4079-AC9C-C3C9FCC75C83}"/>
                </a:ext>
              </a:extLst>
            </xdr:cNvPr>
            <xdr:cNvSpPr txBox="1"/>
          </xdr:nvSpPr>
          <xdr:spPr>
            <a:xfrm>
              <a:off x="609600" y="22755225"/>
              <a:ext cx="2571750" cy="219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:r>
                <a:rPr lang="en-PH" sz="1100" b="0" i="0">
                  <a:latin typeface="Cambria" panose="02040503050406030204" pitchFamily="18" charset="0"/>
                </a:rPr>
                <a:t>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V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</a:t>
              </a:r>
              <a:r>
                <a:rPr lang="en-PH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n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" = Min</a:t>
              </a:r>
              <a:r>
                <a:rPr lang="en-PH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" {"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V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</a:t>
              </a:r>
              <a:r>
                <a:rPr lang="en-PH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nr 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, </a:t>
              </a:r>
              <a:r>
                <a:rPr lang="en-PH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" 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V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</a:t>
              </a:r>
              <a:r>
                <a:rPr lang="en-PH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n,limit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}</a:t>
              </a:r>
              <a:endParaRPr lang="en-PH" sz="1100" i="1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twoCellAnchor editAs="oneCell">
    <xdr:from>
      <xdr:col>10</xdr:col>
      <xdr:colOff>558765</xdr:colOff>
      <xdr:row>7</xdr:row>
      <xdr:rowOff>26227</xdr:rowOff>
    </xdr:from>
    <xdr:to>
      <xdr:col>10</xdr:col>
      <xdr:colOff>558765</xdr:colOff>
      <xdr:row>28</xdr:row>
      <xdr:rowOff>172702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8A7F155-30A0-4E6E-9FD0-06A89EF46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4040" y="1502602"/>
          <a:ext cx="2232059" cy="3994575"/>
        </a:xfrm>
        <a:prstGeom prst="rect">
          <a:avLst/>
        </a:prstGeom>
      </xdr:spPr>
    </xdr:pic>
    <xdr:clientData/>
  </xdr:twoCellAnchor>
  <xdr:twoCellAnchor>
    <xdr:from>
      <xdr:col>10</xdr:col>
      <xdr:colOff>323850</xdr:colOff>
      <xdr:row>7</xdr:row>
      <xdr:rowOff>9527</xdr:rowOff>
    </xdr:from>
    <xdr:to>
      <xdr:col>19</xdr:col>
      <xdr:colOff>0</xdr:colOff>
      <xdr:row>28</xdr:row>
      <xdr:rowOff>1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DE405BA-1EDF-4480-AC5E-02651D1149DE}"/>
            </a:ext>
          </a:extLst>
        </xdr:cNvPr>
        <xdr:cNvSpPr/>
      </xdr:nvSpPr>
      <xdr:spPr>
        <a:xfrm>
          <a:off x="4429125" y="1485902"/>
          <a:ext cx="2724150" cy="4029074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oneCellAnchor>
    <xdr:from>
      <xdr:col>4</xdr:col>
      <xdr:colOff>57150</xdr:colOff>
      <xdr:row>111</xdr:row>
      <xdr:rowOff>190500</xdr:rowOff>
    </xdr:from>
    <xdr:ext cx="2571750" cy="323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E818E3DA-80F8-44EE-B7E7-D57B7062E521}"/>
                </a:ext>
              </a:extLst>
            </xdr:cNvPr>
            <xdr:cNvSpPr txBox="1"/>
          </xdr:nvSpPr>
          <xdr:spPr>
            <a:xfrm>
              <a:off x="847725" y="21650325"/>
              <a:ext cx="2571750" cy="3238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PH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nr</m:t>
                        </m:r>
                      </m:sub>
                    </m:sSub>
                    <m:r>
                      <m:rPr>
                        <m:nor/>
                      </m:rPr>
                      <a:rPr lang="en-PH" sz="1100" b="0" i="1">
                        <a:latin typeface="Cambria" panose="02040503050406030204" pitchFamily="18" charset="0"/>
                        <a:ea typeface="Cambria" panose="02040503050406030204" pitchFamily="18" charset="0"/>
                      </a:rPr>
                      <m:t> = </m:t>
                    </m:r>
                    <m:sSub>
                      <m:sSubPr>
                        <m:ctrlPr>
                          <a:rPr lang="en-PH" sz="1100" b="0" i="1">
                            <a:latin typeface="Cambria Math" panose="02040503050406030204" pitchFamily="18" charset="0"/>
                            <a:ea typeface="Cambria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cv</m:t>
                        </m:r>
                      </m:sub>
                    </m:sSub>
                    <m:d>
                      <m:dPr>
                        <m:ctrlPr>
                          <a:rPr lang="en-PH" sz="1100" b="0" i="1">
                            <a:latin typeface="Cambria Math" panose="02040503050406030204" pitchFamily="18" charset="0"/>
                            <a:ea typeface="Cambria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PH" sz="1100" b="0" i="1">
                                <a:latin typeface="Cambria Math" panose="02040503050406030204" pitchFamily="18" charset="0"/>
                                <a:ea typeface="Cambria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α</m:t>
                            </m:r>
                          </m:e>
                          <m:sub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c</m:t>
                            </m:r>
                          </m:sub>
                        </m:sSub>
                        <m:rad>
                          <m:radPr>
                            <m:degHide m:val="on"/>
                            <m:ctrlPr>
                              <a:rPr lang="en-PH" sz="1100" b="0" i="1">
                                <a:latin typeface="Cambria Math" panose="02040503050406030204" pitchFamily="18" charset="0"/>
                                <a:ea typeface="Cambria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n-PH" sz="1100" b="0" i="1">
                                    <a:latin typeface="Cambria Math" panose="02040503050406030204" pitchFamily="18" charset="0"/>
                                    <a:ea typeface="Cambria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nor/>
                                  </m:rPr>
                                  <a:rPr lang="en-PH" sz="1100" b="0" i="1">
                                    <a:latin typeface="Cambria" panose="02040503050406030204" pitchFamily="18" charset="0"/>
                                    <a:ea typeface="Cambria" panose="02040503050406030204" pitchFamily="18" charset="0"/>
                                  </a:rPr>
                                  <m:t>f</m:t>
                                </m:r>
                                <m:r>
                                  <m:rPr>
                                    <m:nor/>
                                  </m:rPr>
                                  <a:rPr lang="en-PH" sz="1100" b="0" i="1">
                                    <a:latin typeface="Cambria" panose="02040503050406030204" pitchFamily="18" charset="0"/>
                                    <a:ea typeface="Cambria" panose="02040503050406030204" pitchFamily="18" charset="0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m:rPr>
                                    <m:nor/>
                                  </m:rPr>
                                  <a:rPr lang="en-PH" sz="1100" b="0" i="1">
                                    <a:latin typeface="Cambria" panose="02040503050406030204" pitchFamily="18" charset="0"/>
                                    <a:ea typeface="Cambria" panose="02040503050406030204" pitchFamily="18" charset="0"/>
                                  </a:rPr>
                                  <m:t>c</m:t>
                                </m:r>
                              </m:sub>
                            </m:sSub>
                          </m:e>
                        </m:rad>
                        <m:r>
                          <m:rPr>
                            <m:nor/>
                          </m:rPr>
                          <a:rPr lang="en-PH" sz="1100" b="0" i="1">
                            <a:latin typeface="Cambria Math" panose="02040503050406030204" pitchFamily="18" charset="0"/>
                            <a:ea typeface="Cambria" panose="02040503050406030204" pitchFamily="18" charset="0"/>
                          </a:rPr>
                          <m:t> </m:t>
                        </m:r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PH" sz="1100" b="0" i="1">
                                <a:latin typeface="Cambria Math" panose="02040503050406030204" pitchFamily="18" charset="0"/>
                                <a:ea typeface="Cambria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 Math" panose="02040503050406030204" pitchFamily="18" charset="0"/>
                                <a:ea typeface="Cambria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ρ</m:t>
                            </m:r>
                          </m:e>
                          <m:sub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t</m:t>
                            </m:r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 </m:t>
                            </m:r>
                          </m:sub>
                        </m:sSub>
                        <m:sSub>
                          <m:sSubPr>
                            <m:ctrlPr>
                              <a:rPr lang="en-PH" sz="1100" b="0" i="1">
                                <a:latin typeface="Cambria Math" panose="02040503050406030204" pitchFamily="18" charset="0"/>
                                <a:ea typeface="Cambria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f</m:t>
                            </m:r>
                          </m:e>
                          <m:sub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yt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PH" sz="1100" i="1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xmlns:a14="http://schemas.microsoft.com/office/drawing/2010/main" xmlns="" id="{E818E3DA-80F8-44EE-B7E7-D57B7062E521}"/>
                </a:ext>
              </a:extLst>
            </xdr:cNvPr>
            <xdr:cNvSpPr txBox="1"/>
          </xdr:nvSpPr>
          <xdr:spPr>
            <a:xfrm>
              <a:off x="847725" y="21650325"/>
              <a:ext cx="2571750" cy="3238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:r>
                <a:rPr lang="en-PH" sz="1100" b="0" i="0">
                  <a:latin typeface="Cambria" panose="02040503050406030204" pitchFamily="18" charset="0"/>
                </a:rPr>
                <a:t>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V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</a:t>
              </a:r>
              <a:r>
                <a:rPr lang="en-PH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nr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" = " </a:t>
              </a:r>
              <a:r>
                <a:rPr lang="en-PH" sz="1100" b="0" i="0">
                  <a:latin typeface="Cambria" panose="02040503050406030204" pitchFamily="18" charset="0"/>
                </a:rPr>
                <a:t>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A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cv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</a:t>
              </a:r>
              <a:r>
                <a:rPr lang="en-PH" sz="1100" b="0" i="0">
                  <a:latin typeface="Cambria Math" panose="02040503050406030204" pitchFamily="18" charset="0"/>
                </a:rPr>
                <a:t>("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α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c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√(〖"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f′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〗_"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c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) " 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+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〖" 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ρ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〗_"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t 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f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yt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)</a:t>
              </a:r>
              <a:endParaRPr lang="en-PH" sz="1100" i="1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4</xdr:col>
      <xdr:colOff>57150</xdr:colOff>
      <xdr:row>114</xdr:row>
      <xdr:rowOff>152400</xdr:rowOff>
    </xdr:from>
    <xdr:ext cx="2571750" cy="323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B3928AE5-8D14-4C7C-B52A-1FF12852E964}"/>
                </a:ext>
              </a:extLst>
            </xdr:cNvPr>
            <xdr:cNvSpPr txBox="1"/>
          </xdr:nvSpPr>
          <xdr:spPr>
            <a:xfrm>
              <a:off x="847725" y="22269450"/>
              <a:ext cx="2571750" cy="3238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PH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n</m:t>
                        </m:r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,</m:t>
                        </m:r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limit</m:t>
                        </m:r>
                      </m:sub>
                    </m:sSub>
                    <m:r>
                      <m:rPr>
                        <m:nor/>
                      </m:rPr>
                      <a:rPr lang="en-PH" sz="1100" b="0" i="1">
                        <a:latin typeface="Cambria" panose="02040503050406030204" pitchFamily="18" charset="0"/>
                        <a:ea typeface="Cambria" panose="02040503050406030204" pitchFamily="18" charset="0"/>
                      </a:rPr>
                      <m:t> = 0.83 </m:t>
                    </m:r>
                    <m:sSub>
                      <m:sSubPr>
                        <m:ctrlPr>
                          <a:rPr lang="en-PH" sz="1100" b="0" i="1">
                            <a:latin typeface="Cambria Math" panose="02040503050406030204" pitchFamily="18" charset="0"/>
                            <a:ea typeface="Cambria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cv</m:t>
                        </m:r>
                      </m:sub>
                    </m:sSub>
                    <m:r>
                      <m:rPr>
                        <m:nor/>
                      </m:rPr>
                      <a:rPr lang="en-PH" sz="1100" b="0" i="0">
                        <a:latin typeface="Cambria" panose="02040503050406030204" pitchFamily="18" charset="0"/>
                        <a:ea typeface="Cambria" panose="02040503050406030204" pitchFamily="18" charset="0"/>
                      </a:rPr>
                      <m:t> </m:t>
                    </m:r>
                    <m:rad>
                      <m:radPr>
                        <m:degHide m:val="on"/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" panose="02040503050406030204" pitchFamily="18" charset="0"/>
                                <a:ea typeface="Cambria" panose="02040503050406030204" pitchFamily="18" charset="0"/>
                                <a:cs typeface="+mn-cs"/>
                              </a:rPr>
                              <m:t>f</m:t>
                            </m:r>
                            <m:r>
                              <m:rPr>
                                <m:nor/>
                              </m:rP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" panose="02040503050406030204" pitchFamily="18" charset="0"/>
                                <a:ea typeface="Cambria" panose="02040503050406030204" pitchFamily="18" charset="0"/>
                                <a:cs typeface="+mn-cs"/>
                              </a:rPr>
                              <m:t>′</m:t>
                            </m:r>
                          </m:e>
                          <m:sub>
                            <m:r>
                              <m:rPr>
                                <m:nor/>
                              </m:rP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" panose="02040503050406030204" pitchFamily="18" charset="0"/>
                                <a:ea typeface="Cambria" panose="02040503050406030204" pitchFamily="18" charset="0"/>
                                <a:cs typeface="+mn-cs"/>
                              </a:rPr>
                              <m:t>c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n-PH" sz="1100" i="1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xmlns:a14="http://schemas.microsoft.com/office/drawing/2010/main" xmlns="" id="{B3928AE5-8D14-4C7C-B52A-1FF12852E964}"/>
                </a:ext>
              </a:extLst>
            </xdr:cNvPr>
            <xdr:cNvSpPr txBox="1"/>
          </xdr:nvSpPr>
          <xdr:spPr>
            <a:xfrm>
              <a:off x="847725" y="22269450"/>
              <a:ext cx="2571750" cy="3238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:r>
                <a:rPr lang="en-PH" sz="1100" b="0" i="0">
                  <a:latin typeface="Cambria" panose="02040503050406030204" pitchFamily="18" charset="0"/>
                </a:rPr>
                <a:t>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V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</a:t>
              </a:r>
              <a:r>
                <a:rPr lang="en-PH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n,limit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" = 0.83 " </a:t>
              </a:r>
              <a:r>
                <a:rPr lang="en-PH" sz="1100" b="0" i="0">
                  <a:latin typeface="Cambria" panose="02040503050406030204" pitchFamily="18" charset="0"/>
                </a:rPr>
                <a:t>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A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cv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" 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√(〖"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" panose="02040503050406030204" pitchFamily="18" charset="0"/>
                  <a:ea typeface="Cambria" panose="02040503050406030204" pitchFamily="18" charset="0"/>
                  <a:cs typeface="+mn-cs"/>
                </a:rPr>
                <a:t>f′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" panose="02040503050406030204" pitchFamily="18" charset="0"/>
                  <a:cs typeface="+mn-cs"/>
                </a:rPr>
                <a:t>" 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〗_"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" panose="02040503050406030204" pitchFamily="18" charset="0"/>
                  <a:ea typeface="Cambria" panose="02040503050406030204" pitchFamily="18" charset="0"/>
                  <a:cs typeface="+mn-cs"/>
                </a:rPr>
                <a:t>c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" panose="02040503050406030204" pitchFamily="18" charset="0"/>
                  <a:cs typeface="+mn-cs"/>
                </a:rPr>
                <a:t>"  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PH" sz="1100" i="1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3</xdr:col>
      <xdr:colOff>0</xdr:colOff>
      <xdr:row>117</xdr:row>
      <xdr:rowOff>0</xdr:rowOff>
    </xdr:from>
    <xdr:ext cx="2571750" cy="219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B251693A-3DFD-4079-AC9C-C3C9FCC75C83}"/>
                </a:ext>
              </a:extLst>
            </xdr:cNvPr>
            <xdr:cNvSpPr txBox="1"/>
          </xdr:nvSpPr>
          <xdr:spPr>
            <a:xfrm>
              <a:off x="609600" y="22755225"/>
              <a:ext cx="2571750" cy="219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PH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n</m:t>
                        </m:r>
                      </m:sub>
                    </m:sSub>
                    <m:r>
                      <m:rPr>
                        <m:nor/>
                      </m:rPr>
                      <a:rPr lang="en-PH" sz="1100" b="0" i="1">
                        <a:latin typeface="Cambria" panose="02040503050406030204" pitchFamily="18" charset="0"/>
                        <a:ea typeface="Cambria" panose="02040503050406030204" pitchFamily="18" charset="0"/>
                      </a:rPr>
                      <m:t> = </m:t>
                    </m:r>
                    <m:r>
                      <m:rPr>
                        <m:nor/>
                      </m:rPr>
                      <a:rPr lang="en-PH" sz="1100" b="0" i="1">
                        <a:latin typeface="Cambria" panose="02040503050406030204" pitchFamily="18" charset="0"/>
                        <a:ea typeface="Cambria" panose="02040503050406030204" pitchFamily="18" charset="0"/>
                      </a:rPr>
                      <m:t>Min</m:t>
                    </m:r>
                    <m:d>
                      <m:dPr>
                        <m:begChr m:val="{"/>
                        <m:endChr m:val="}"/>
                        <m:ctrlPr>
                          <a:rPr lang="en-PH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PH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nr</m:t>
                            </m:r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 </m:t>
                            </m:r>
                          </m:sub>
                        </m:sSub>
                        <m:r>
                          <m:rPr>
                            <m:nor/>
                          </m:rPr>
                          <a:rPr lang="en-PH" sz="1100" b="0" i="1">
                            <a:latin typeface="Cambria" panose="02040503050406030204" pitchFamily="18" charset="0"/>
                            <a:ea typeface="Cambria" panose="02040503050406030204" pitchFamily="18" charset="0"/>
                          </a:rPr>
                          <m:t>, </m:t>
                        </m:r>
                        <m:sSub>
                          <m:sSubPr>
                            <m:ctrlPr>
                              <a:rPr lang="en-PH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n</m:t>
                            </m:r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,</m:t>
                            </m:r>
                            <m:r>
                              <m:rPr>
                                <m:nor/>
                              </m:rPr>
                              <a:rPr lang="en-PH" sz="1100" b="0" i="1">
                                <a:latin typeface="Cambria" panose="02040503050406030204" pitchFamily="18" charset="0"/>
                                <a:ea typeface="Cambria" panose="02040503050406030204" pitchFamily="18" charset="0"/>
                              </a:rPr>
                              <m:t>limit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PH" sz="1100" i="1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xmlns:a14="http://schemas.microsoft.com/office/drawing/2010/main" xmlns="" id="{B251693A-3DFD-4079-AC9C-C3C9FCC75C83}"/>
                </a:ext>
              </a:extLst>
            </xdr:cNvPr>
            <xdr:cNvSpPr txBox="1"/>
          </xdr:nvSpPr>
          <xdr:spPr>
            <a:xfrm>
              <a:off x="609600" y="22755225"/>
              <a:ext cx="2571750" cy="219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:r>
                <a:rPr lang="en-PH" sz="1100" b="0" i="0">
                  <a:latin typeface="Cambria" panose="02040503050406030204" pitchFamily="18" charset="0"/>
                </a:rPr>
                <a:t>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V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</a:t>
              </a:r>
              <a:r>
                <a:rPr lang="en-PH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n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" = Min</a:t>
              </a:r>
              <a:r>
                <a:rPr lang="en-PH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" {"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V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</a:t>
              </a:r>
              <a:r>
                <a:rPr lang="en-PH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nr 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, </a:t>
              </a:r>
              <a:r>
                <a:rPr lang="en-PH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" 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V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</a:t>
              </a:r>
              <a:r>
                <a:rPr lang="en-PH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_"</a:t>
              </a:r>
              <a:r>
                <a:rPr lang="en-PH" sz="1100" b="0" i="0">
                  <a:latin typeface="Cambria" panose="02040503050406030204" pitchFamily="18" charset="0"/>
                  <a:ea typeface="Cambria" panose="02040503050406030204" pitchFamily="18" charset="0"/>
                </a:rPr>
                <a:t>n,limit</a:t>
              </a:r>
              <a:r>
                <a:rPr lang="en-PH" sz="1100" b="0" i="0">
                  <a:latin typeface="Cambria Math" panose="02040503050406030204" pitchFamily="18" charset="0"/>
                  <a:ea typeface="Cambria" panose="02040503050406030204" pitchFamily="18" charset="0"/>
                </a:rPr>
                <a:t>"  }</a:t>
              </a:r>
              <a:endParaRPr lang="en-PH" sz="1100" i="1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twoCellAnchor editAs="oneCell">
    <xdr:from>
      <xdr:col>10</xdr:col>
      <xdr:colOff>626002</xdr:colOff>
      <xdr:row>7</xdr:row>
      <xdr:rowOff>71051</xdr:rowOff>
    </xdr:from>
    <xdr:to>
      <xdr:col>16</xdr:col>
      <xdr:colOff>561197</xdr:colOff>
      <xdr:row>27</xdr:row>
      <xdr:rowOff>134471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8A7F155-30A0-4E6E-9FD0-06A89EF46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561" y="1561433"/>
          <a:ext cx="2097930" cy="39742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371475</xdr:colOff>
          <xdr:row>1</xdr:row>
          <xdr:rowOff>19050</xdr:rowOff>
        </xdr:from>
        <xdr:to>
          <xdr:col>26</xdr:col>
          <xdr:colOff>152400</xdr:colOff>
          <xdr:row>2</xdr:row>
          <xdr:rowOff>161925</xdr:rowOff>
        </xdr:to>
        <xdr:sp macro="" textlink="">
          <xdr:nvSpPr>
            <xdr:cNvPr id="1026" name="Load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y2%20Files\G\OneDrive\Documents\Design%20Aids\Under%20Development\ColTrans\2019-03-29%20-%20SWTrans%20v1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 IN"/>
      <sheetName val="USERS"/>
      <sheetName val="INPUTS"/>
      <sheetName val="SORTED"/>
      <sheetName val="TEMP"/>
      <sheetName val="TEST"/>
      <sheetName val="RESULTS"/>
      <sheetName val="SCHEDULE"/>
      <sheetName val="CHANGES"/>
      <sheetName val="MODIFIERS"/>
      <sheetName val="RATIOS"/>
      <sheetName val="CALCULATIONS"/>
      <sheetName val="QUANTITIES"/>
      <sheetName val="REPORT"/>
      <sheetName val="PARAMETERS"/>
      <sheetName val="PRINT"/>
      <sheetName val="CUTS"/>
      <sheetName val="CRCCB"/>
      <sheetName val="DRCCBA"/>
      <sheetName val="DRCCBB"/>
      <sheetName val="SRCCB"/>
      <sheetName val="CAS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4">
          <cell r="B4">
            <v>10</v>
          </cell>
          <cell r="C4">
            <v>180</v>
          </cell>
          <cell r="D4">
            <v>130</v>
          </cell>
          <cell r="E4">
            <v>120</v>
          </cell>
          <cell r="F4">
            <v>120</v>
          </cell>
          <cell r="G4">
            <v>120</v>
          </cell>
          <cell r="H4">
            <v>6.1653755826699688E-4</v>
          </cell>
          <cell r="O4" t="str">
            <v>3000-10</v>
          </cell>
          <cell r="P4">
            <v>290</v>
          </cell>
          <cell r="Q4">
            <v>150</v>
          </cell>
        </row>
        <row r="5">
          <cell r="B5">
            <v>12</v>
          </cell>
          <cell r="C5">
            <v>220</v>
          </cell>
          <cell r="D5">
            <v>140</v>
          </cell>
          <cell r="E5">
            <v>130</v>
          </cell>
          <cell r="F5">
            <v>130</v>
          </cell>
          <cell r="G5">
            <v>130</v>
          </cell>
          <cell r="H5">
            <v>8.8781408390447539E-4</v>
          </cell>
          <cell r="O5" t="str">
            <v>3000-12</v>
          </cell>
          <cell r="P5">
            <v>520</v>
          </cell>
          <cell r="Q5">
            <v>270</v>
          </cell>
        </row>
        <row r="6">
          <cell r="B6">
            <v>16</v>
          </cell>
          <cell r="C6">
            <v>290</v>
          </cell>
          <cell r="D6">
            <v>170</v>
          </cell>
          <cell r="E6">
            <v>160</v>
          </cell>
          <cell r="F6">
            <v>160</v>
          </cell>
          <cell r="G6">
            <v>160</v>
          </cell>
          <cell r="H6">
            <v>1.5783361491635119E-3</v>
          </cell>
          <cell r="O6" t="str">
            <v>3000-16</v>
          </cell>
          <cell r="P6">
            <v>700</v>
          </cell>
          <cell r="Q6">
            <v>350</v>
          </cell>
        </row>
        <row r="7">
          <cell r="B7">
            <v>20</v>
          </cell>
          <cell r="C7">
            <v>360</v>
          </cell>
          <cell r="D7">
            <v>200</v>
          </cell>
          <cell r="E7">
            <v>360</v>
          </cell>
          <cell r="F7">
            <v>240</v>
          </cell>
          <cell r="G7">
            <v>200</v>
          </cell>
          <cell r="H7">
            <v>2.4661502330679875E-3</v>
          </cell>
          <cell r="O7" t="str">
            <v>3000-20</v>
          </cell>
          <cell r="P7">
            <v>1080</v>
          </cell>
          <cell r="Q7">
            <v>440</v>
          </cell>
        </row>
        <row r="8">
          <cell r="B8">
            <v>25</v>
          </cell>
          <cell r="C8">
            <v>450</v>
          </cell>
          <cell r="D8">
            <v>250</v>
          </cell>
          <cell r="E8">
            <v>450</v>
          </cell>
          <cell r="F8">
            <v>300</v>
          </cell>
          <cell r="G8">
            <v>250</v>
          </cell>
          <cell r="H8">
            <v>3.8533597391687303E-3</v>
          </cell>
          <cell r="O8" t="str">
            <v>3000-25</v>
          </cell>
          <cell r="P8">
            <v>1340</v>
          </cell>
          <cell r="Q8">
            <v>550</v>
          </cell>
        </row>
        <row r="9">
          <cell r="B9">
            <v>28</v>
          </cell>
          <cell r="C9">
            <v>560</v>
          </cell>
          <cell r="D9">
            <v>340</v>
          </cell>
          <cell r="E9">
            <v>0</v>
          </cell>
          <cell r="F9">
            <v>0</v>
          </cell>
          <cell r="G9">
            <v>0</v>
          </cell>
          <cell r="H9">
            <v>4.8336544568132554E-3</v>
          </cell>
          <cell r="O9" t="str">
            <v>3000-28</v>
          </cell>
          <cell r="P9">
            <v>1500</v>
          </cell>
          <cell r="Q9">
            <v>620</v>
          </cell>
        </row>
        <row r="10">
          <cell r="B10">
            <v>32</v>
          </cell>
          <cell r="C10">
            <v>640</v>
          </cell>
          <cell r="D10">
            <v>390</v>
          </cell>
          <cell r="E10">
            <v>0</v>
          </cell>
          <cell r="F10">
            <v>0</v>
          </cell>
          <cell r="G10">
            <v>0</v>
          </cell>
          <cell r="H10">
            <v>6.3133445966540476E-3</v>
          </cell>
          <cell r="O10" t="str">
            <v>3000-32</v>
          </cell>
          <cell r="P10">
            <v>1720</v>
          </cell>
          <cell r="Q10">
            <v>700</v>
          </cell>
        </row>
        <row r="11">
          <cell r="B11">
            <v>36</v>
          </cell>
          <cell r="C11">
            <v>720</v>
          </cell>
          <cell r="D11">
            <v>440</v>
          </cell>
          <cell r="E11">
            <v>0</v>
          </cell>
          <cell r="F11">
            <v>0</v>
          </cell>
          <cell r="G11">
            <v>0</v>
          </cell>
          <cell r="H11">
            <v>7.9903267551402792E-3</v>
          </cell>
          <cell r="O11" t="str">
            <v>3000-36</v>
          </cell>
          <cell r="P11">
            <v>1930</v>
          </cell>
          <cell r="Q11">
            <v>790</v>
          </cell>
        </row>
        <row r="12">
          <cell r="O12" t="str">
            <v>3500-10</v>
          </cell>
          <cell r="P12">
            <v>270</v>
          </cell>
          <cell r="Q12">
            <v>150</v>
          </cell>
        </row>
        <row r="13">
          <cell r="O13" t="str">
            <v>3500-12</v>
          </cell>
          <cell r="P13">
            <v>490</v>
          </cell>
          <cell r="Q13">
            <v>250</v>
          </cell>
        </row>
        <row r="14">
          <cell r="O14" t="str">
            <v>3500-16</v>
          </cell>
          <cell r="P14">
            <v>650</v>
          </cell>
          <cell r="Q14">
            <v>330</v>
          </cell>
        </row>
        <row r="15">
          <cell r="O15" t="str">
            <v>3500-20</v>
          </cell>
          <cell r="P15">
            <v>1000</v>
          </cell>
          <cell r="Q15">
            <v>410</v>
          </cell>
        </row>
        <row r="16">
          <cell r="O16" t="str">
            <v>3500-25</v>
          </cell>
          <cell r="P16">
            <v>1240</v>
          </cell>
          <cell r="Q16">
            <v>510</v>
          </cell>
        </row>
        <row r="17">
          <cell r="O17" t="str">
            <v>3500-28</v>
          </cell>
          <cell r="P17">
            <v>1390</v>
          </cell>
          <cell r="Q17">
            <v>570</v>
          </cell>
        </row>
        <row r="18">
          <cell r="O18" t="str">
            <v>3500-32</v>
          </cell>
          <cell r="P18">
            <v>1590</v>
          </cell>
          <cell r="Q18">
            <v>650</v>
          </cell>
        </row>
        <row r="19">
          <cell r="O19" t="str">
            <v>3500-36</v>
          </cell>
          <cell r="P19">
            <v>1790</v>
          </cell>
          <cell r="Q19">
            <v>730</v>
          </cell>
        </row>
        <row r="20">
          <cell r="O20" t="str">
            <v>4000-10</v>
          </cell>
          <cell r="P20">
            <v>260</v>
          </cell>
          <cell r="Q20">
            <v>150</v>
          </cell>
        </row>
        <row r="21">
          <cell r="O21" t="str">
            <v>4000-12</v>
          </cell>
          <cell r="P21">
            <v>460</v>
          </cell>
          <cell r="Q21">
            <v>230</v>
          </cell>
        </row>
        <row r="22">
          <cell r="O22" t="str">
            <v>4000-16</v>
          </cell>
          <cell r="P22">
            <v>610</v>
          </cell>
          <cell r="Q22">
            <v>310</v>
          </cell>
        </row>
        <row r="23">
          <cell r="O23" t="str">
            <v>4000-20</v>
          </cell>
          <cell r="P23">
            <v>930</v>
          </cell>
          <cell r="Q23">
            <v>380</v>
          </cell>
        </row>
        <row r="24">
          <cell r="O24" t="str">
            <v>4000-25</v>
          </cell>
          <cell r="P24">
            <v>1160</v>
          </cell>
          <cell r="Q24">
            <v>480</v>
          </cell>
        </row>
        <row r="25">
          <cell r="O25" t="str">
            <v>4000-28</v>
          </cell>
          <cell r="P25">
            <v>1300</v>
          </cell>
          <cell r="Q25">
            <v>530</v>
          </cell>
        </row>
        <row r="26">
          <cell r="O26" t="str">
            <v>4000-32</v>
          </cell>
          <cell r="P26">
            <v>1490</v>
          </cell>
          <cell r="Q26">
            <v>610</v>
          </cell>
        </row>
        <row r="27">
          <cell r="O27" t="str">
            <v>4000-36</v>
          </cell>
          <cell r="P27">
            <v>1670</v>
          </cell>
          <cell r="Q27">
            <v>690</v>
          </cell>
        </row>
        <row r="28">
          <cell r="O28" t="str">
            <v>4500-10</v>
          </cell>
          <cell r="P28">
            <v>240</v>
          </cell>
          <cell r="Q28">
            <v>150</v>
          </cell>
        </row>
        <row r="29">
          <cell r="O29" t="str">
            <v>4500-12</v>
          </cell>
          <cell r="P29">
            <v>430</v>
          </cell>
          <cell r="Q29">
            <v>220</v>
          </cell>
        </row>
        <row r="30">
          <cell r="O30" t="str">
            <v>4500-16</v>
          </cell>
          <cell r="P30">
            <v>570</v>
          </cell>
          <cell r="Q30">
            <v>290</v>
          </cell>
        </row>
        <row r="31">
          <cell r="O31" t="str">
            <v>4500-20</v>
          </cell>
          <cell r="P31">
            <v>880</v>
          </cell>
          <cell r="Q31">
            <v>360</v>
          </cell>
        </row>
        <row r="32">
          <cell r="O32" t="str">
            <v>4500-25</v>
          </cell>
          <cell r="P32">
            <v>1100</v>
          </cell>
          <cell r="Q32">
            <v>450</v>
          </cell>
        </row>
        <row r="33">
          <cell r="O33" t="str">
            <v>4500-28</v>
          </cell>
          <cell r="P33">
            <v>1230</v>
          </cell>
          <cell r="Q33">
            <v>500</v>
          </cell>
        </row>
        <row r="34">
          <cell r="O34" t="str">
            <v>4500-32</v>
          </cell>
          <cell r="P34">
            <v>1400</v>
          </cell>
          <cell r="Q34">
            <v>580</v>
          </cell>
        </row>
        <row r="35">
          <cell r="O35" t="str">
            <v>4500-36</v>
          </cell>
          <cell r="P35">
            <v>1580</v>
          </cell>
          <cell r="Q35">
            <v>650</v>
          </cell>
        </row>
        <row r="36">
          <cell r="O36" t="str">
            <v>5000-10</v>
          </cell>
          <cell r="P36">
            <v>230</v>
          </cell>
          <cell r="Q36">
            <v>150</v>
          </cell>
        </row>
        <row r="37">
          <cell r="O37" t="str">
            <v>5000-12</v>
          </cell>
          <cell r="P37">
            <v>410</v>
          </cell>
          <cell r="Q37">
            <v>210</v>
          </cell>
        </row>
        <row r="38">
          <cell r="O38" t="str">
            <v>5000-16</v>
          </cell>
          <cell r="P38">
            <v>540</v>
          </cell>
          <cell r="Q38">
            <v>280</v>
          </cell>
        </row>
        <row r="39">
          <cell r="O39" t="str">
            <v>5000-20</v>
          </cell>
          <cell r="P39">
            <v>830</v>
          </cell>
          <cell r="Q39">
            <v>340</v>
          </cell>
        </row>
        <row r="40">
          <cell r="O40" t="str">
            <v>5000-25</v>
          </cell>
          <cell r="P40">
            <v>1040</v>
          </cell>
          <cell r="Q40">
            <v>430</v>
          </cell>
        </row>
        <row r="41">
          <cell r="O41" t="str">
            <v>5000-28</v>
          </cell>
          <cell r="P41">
            <v>1170</v>
          </cell>
          <cell r="Q41">
            <v>480</v>
          </cell>
        </row>
        <row r="42">
          <cell r="O42" t="str">
            <v>5000-32</v>
          </cell>
          <cell r="P42">
            <v>1330</v>
          </cell>
          <cell r="Q42">
            <v>550</v>
          </cell>
        </row>
        <row r="43">
          <cell r="O43" t="str">
            <v>5000-36</v>
          </cell>
          <cell r="P43">
            <v>1500</v>
          </cell>
          <cell r="Q43">
            <v>610</v>
          </cell>
        </row>
        <row r="44">
          <cell r="O44" t="str">
            <v>5500-10</v>
          </cell>
          <cell r="P44">
            <v>220</v>
          </cell>
          <cell r="Q44">
            <v>150</v>
          </cell>
        </row>
        <row r="45">
          <cell r="O45" t="str">
            <v>5500-12</v>
          </cell>
          <cell r="P45">
            <v>390</v>
          </cell>
          <cell r="Q45">
            <v>200</v>
          </cell>
        </row>
        <row r="46">
          <cell r="O46" t="str">
            <v>5500-16</v>
          </cell>
          <cell r="P46">
            <v>520</v>
          </cell>
          <cell r="Q46">
            <v>260</v>
          </cell>
        </row>
        <row r="47">
          <cell r="O47" t="str">
            <v>5500-20</v>
          </cell>
          <cell r="P47">
            <v>800</v>
          </cell>
          <cell r="Q47">
            <v>330</v>
          </cell>
        </row>
        <row r="48">
          <cell r="O48" t="str">
            <v>5500-25</v>
          </cell>
          <cell r="P48">
            <v>990</v>
          </cell>
          <cell r="Q48">
            <v>410</v>
          </cell>
        </row>
        <row r="49">
          <cell r="O49" t="str">
            <v>5500-28</v>
          </cell>
          <cell r="P49">
            <v>1110</v>
          </cell>
          <cell r="Q49">
            <v>460</v>
          </cell>
        </row>
        <row r="50">
          <cell r="O50" t="str">
            <v>5500-32</v>
          </cell>
          <cell r="P50">
            <v>1270</v>
          </cell>
          <cell r="Q50">
            <v>520</v>
          </cell>
        </row>
        <row r="51">
          <cell r="O51" t="str">
            <v>5500-36</v>
          </cell>
          <cell r="P51">
            <v>1430</v>
          </cell>
          <cell r="Q51">
            <v>590</v>
          </cell>
        </row>
        <row r="52">
          <cell r="O52" t="str">
            <v>6000-10</v>
          </cell>
          <cell r="P52">
            <v>210</v>
          </cell>
          <cell r="Q52">
            <v>150</v>
          </cell>
        </row>
        <row r="53">
          <cell r="O53" t="str">
            <v>6000-12</v>
          </cell>
          <cell r="P53">
            <v>370</v>
          </cell>
          <cell r="Q53">
            <v>190</v>
          </cell>
        </row>
        <row r="54">
          <cell r="O54" t="str">
            <v>6000-16</v>
          </cell>
          <cell r="P54">
            <v>500</v>
          </cell>
          <cell r="Q54">
            <v>250</v>
          </cell>
        </row>
        <row r="55">
          <cell r="O55" t="str">
            <v>6000-20</v>
          </cell>
          <cell r="P55">
            <v>760</v>
          </cell>
          <cell r="Q55">
            <v>310</v>
          </cell>
        </row>
        <row r="56">
          <cell r="O56" t="str">
            <v>6000-25</v>
          </cell>
          <cell r="P56">
            <v>950</v>
          </cell>
          <cell r="Q56">
            <v>390</v>
          </cell>
        </row>
        <row r="57">
          <cell r="O57" t="str">
            <v>6000-28</v>
          </cell>
          <cell r="P57">
            <v>1060</v>
          </cell>
          <cell r="Q57">
            <v>440</v>
          </cell>
        </row>
        <row r="58">
          <cell r="O58" t="str">
            <v>6000-32</v>
          </cell>
          <cell r="P58">
            <v>1220</v>
          </cell>
          <cell r="Q58">
            <v>500</v>
          </cell>
        </row>
        <row r="59">
          <cell r="O59" t="str">
            <v>6000-36</v>
          </cell>
          <cell r="P59">
            <v>1370</v>
          </cell>
          <cell r="Q59">
            <v>560</v>
          </cell>
        </row>
        <row r="60">
          <cell r="O60" t="str">
            <v>6500-10</v>
          </cell>
          <cell r="P60">
            <v>200</v>
          </cell>
          <cell r="Q60">
            <v>150</v>
          </cell>
        </row>
        <row r="61">
          <cell r="O61" t="str">
            <v>6500-12</v>
          </cell>
          <cell r="P61">
            <v>360</v>
          </cell>
          <cell r="Q61">
            <v>180</v>
          </cell>
        </row>
        <row r="62">
          <cell r="O62" t="str">
            <v>6500-16</v>
          </cell>
          <cell r="P62">
            <v>480</v>
          </cell>
          <cell r="Q62">
            <v>240</v>
          </cell>
        </row>
        <row r="63">
          <cell r="O63" t="str">
            <v>6500-20</v>
          </cell>
          <cell r="P63">
            <v>730</v>
          </cell>
          <cell r="Q63">
            <v>300</v>
          </cell>
        </row>
        <row r="64">
          <cell r="O64" t="str">
            <v>6500-25</v>
          </cell>
          <cell r="P64">
            <v>910</v>
          </cell>
          <cell r="Q64">
            <v>380</v>
          </cell>
        </row>
        <row r="65">
          <cell r="O65" t="str">
            <v>6500-28</v>
          </cell>
          <cell r="P65">
            <v>1020</v>
          </cell>
          <cell r="Q65">
            <v>420</v>
          </cell>
        </row>
        <row r="66">
          <cell r="O66" t="str">
            <v>6500-32</v>
          </cell>
          <cell r="P66">
            <v>1170</v>
          </cell>
          <cell r="Q66">
            <v>480</v>
          </cell>
        </row>
        <row r="67">
          <cell r="O67" t="str">
            <v>6500-36</v>
          </cell>
          <cell r="P67">
            <v>1310</v>
          </cell>
          <cell r="Q67">
            <v>540</v>
          </cell>
        </row>
        <row r="68">
          <cell r="O68" t="str">
            <v>7000-10</v>
          </cell>
          <cell r="P68">
            <v>190</v>
          </cell>
          <cell r="Q68">
            <v>150</v>
          </cell>
        </row>
        <row r="69">
          <cell r="O69" t="str">
            <v>7000-12</v>
          </cell>
          <cell r="P69">
            <v>350</v>
          </cell>
          <cell r="Q69">
            <v>180</v>
          </cell>
        </row>
        <row r="70">
          <cell r="O70" t="str">
            <v>7000-16</v>
          </cell>
          <cell r="P70">
            <v>460</v>
          </cell>
          <cell r="Q70">
            <v>230</v>
          </cell>
        </row>
        <row r="71">
          <cell r="O71" t="str">
            <v>7000-20</v>
          </cell>
          <cell r="P71">
            <v>710</v>
          </cell>
          <cell r="Q71">
            <v>290</v>
          </cell>
        </row>
        <row r="72">
          <cell r="O72" t="str">
            <v>7000-25</v>
          </cell>
          <cell r="P72">
            <v>880</v>
          </cell>
          <cell r="Q72">
            <v>360</v>
          </cell>
        </row>
        <row r="73">
          <cell r="O73" t="str">
            <v>7000-28</v>
          </cell>
          <cell r="P73">
            <v>990</v>
          </cell>
          <cell r="Q73">
            <v>410</v>
          </cell>
        </row>
        <row r="74">
          <cell r="O74" t="str">
            <v>7000-32</v>
          </cell>
          <cell r="P74">
            <v>1130</v>
          </cell>
          <cell r="Q74">
            <v>460</v>
          </cell>
        </row>
        <row r="75">
          <cell r="O75" t="str">
            <v>7000-36</v>
          </cell>
          <cell r="P75">
            <v>1270</v>
          </cell>
          <cell r="Q75">
            <v>520</v>
          </cell>
        </row>
        <row r="76">
          <cell r="O76" t="str">
            <v>7200-10</v>
          </cell>
          <cell r="P76">
            <v>190</v>
          </cell>
          <cell r="Q76">
            <v>150</v>
          </cell>
        </row>
        <row r="77">
          <cell r="O77" t="str">
            <v>7200-12</v>
          </cell>
          <cell r="P77">
            <v>340</v>
          </cell>
          <cell r="Q77">
            <v>170</v>
          </cell>
        </row>
        <row r="78">
          <cell r="O78" t="str">
            <v>7200-16</v>
          </cell>
          <cell r="P78">
            <v>450</v>
          </cell>
          <cell r="Q78">
            <v>230</v>
          </cell>
        </row>
        <row r="79">
          <cell r="O79" t="str">
            <v>7200-20</v>
          </cell>
          <cell r="P79">
            <v>700</v>
          </cell>
          <cell r="Q79">
            <v>290</v>
          </cell>
        </row>
        <row r="80">
          <cell r="O80" t="str">
            <v>7200-25</v>
          </cell>
          <cell r="P80">
            <v>870</v>
          </cell>
          <cell r="Q80">
            <v>360</v>
          </cell>
        </row>
        <row r="81">
          <cell r="O81" t="str">
            <v>7200-28</v>
          </cell>
          <cell r="P81">
            <v>970</v>
          </cell>
          <cell r="Q81">
            <v>400</v>
          </cell>
        </row>
        <row r="82">
          <cell r="O82" t="str">
            <v>7200-32</v>
          </cell>
          <cell r="P82">
            <v>1110</v>
          </cell>
          <cell r="Q82">
            <v>460</v>
          </cell>
        </row>
        <row r="83">
          <cell r="O83" t="str">
            <v>7200-36</v>
          </cell>
          <cell r="P83">
            <v>1250</v>
          </cell>
          <cell r="Q83">
            <v>510</v>
          </cell>
        </row>
        <row r="84">
          <cell r="O84" t="str">
            <v>7500-10</v>
          </cell>
          <cell r="P84">
            <v>190</v>
          </cell>
          <cell r="Q84">
            <v>150</v>
          </cell>
        </row>
        <row r="85">
          <cell r="O85" t="str">
            <v>7500-12</v>
          </cell>
          <cell r="P85">
            <v>330</v>
          </cell>
          <cell r="Q85">
            <v>170</v>
          </cell>
        </row>
        <row r="86">
          <cell r="O86" t="str">
            <v>7500-16</v>
          </cell>
          <cell r="P86">
            <v>440</v>
          </cell>
          <cell r="Q86">
            <v>230</v>
          </cell>
        </row>
        <row r="87">
          <cell r="O87" t="str">
            <v>7500-20</v>
          </cell>
          <cell r="P87">
            <v>680</v>
          </cell>
          <cell r="Q87">
            <v>280</v>
          </cell>
        </row>
        <row r="88">
          <cell r="O88" t="str">
            <v>7500-25</v>
          </cell>
          <cell r="P88">
            <v>850</v>
          </cell>
          <cell r="Q88">
            <v>350</v>
          </cell>
        </row>
        <row r="89">
          <cell r="O89" t="str">
            <v>7500-28</v>
          </cell>
          <cell r="P89">
            <v>950</v>
          </cell>
          <cell r="Q89">
            <v>390</v>
          </cell>
        </row>
        <row r="90">
          <cell r="O90" t="str">
            <v>7500-32</v>
          </cell>
          <cell r="P90">
            <v>1090</v>
          </cell>
          <cell r="Q90">
            <v>450</v>
          </cell>
        </row>
        <row r="91">
          <cell r="O91" t="str">
            <v>7500-36</v>
          </cell>
          <cell r="P91">
            <v>1220</v>
          </cell>
          <cell r="Q91">
            <v>500</v>
          </cell>
        </row>
        <row r="92">
          <cell r="O92" t="str">
            <v>8000-10</v>
          </cell>
          <cell r="P92">
            <v>180</v>
          </cell>
          <cell r="Q92">
            <v>150</v>
          </cell>
        </row>
        <row r="93">
          <cell r="O93" t="str">
            <v>8000-12</v>
          </cell>
          <cell r="P93">
            <v>320</v>
          </cell>
          <cell r="Q93">
            <v>170</v>
          </cell>
        </row>
        <row r="94">
          <cell r="O94" t="str">
            <v>8000-16</v>
          </cell>
          <cell r="P94">
            <v>430</v>
          </cell>
          <cell r="Q94">
            <v>220</v>
          </cell>
        </row>
        <row r="95">
          <cell r="O95" t="str">
            <v>8000-20</v>
          </cell>
          <cell r="P95">
            <v>660</v>
          </cell>
          <cell r="Q95">
            <v>270</v>
          </cell>
        </row>
        <row r="96">
          <cell r="O96" t="str">
            <v>8000-25</v>
          </cell>
          <cell r="P96">
            <v>820</v>
          </cell>
          <cell r="Q96">
            <v>340</v>
          </cell>
        </row>
        <row r="97">
          <cell r="O97" t="str">
            <v>8000-28</v>
          </cell>
          <cell r="P97">
            <v>920</v>
          </cell>
          <cell r="Q97">
            <v>380</v>
          </cell>
        </row>
        <row r="98">
          <cell r="O98" t="str">
            <v>8000-32</v>
          </cell>
          <cell r="P98">
            <v>1050</v>
          </cell>
          <cell r="Q98">
            <v>430</v>
          </cell>
        </row>
        <row r="99">
          <cell r="O99" t="str">
            <v>8000-36</v>
          </cell>
          <cell r="P99">
            <v>1180</v>
          </cell>
          <cell r="Q99">
            <v>490</v>
          </cell>
        </row>
        <row r="100">
          <cell r="O100" t="str">
            <v>8500-10</v>
          </cell>
          <cell r="P100">
            <v>180</v>
          </cell>
          <cell r="Q100">
            <v>150</v>
          </cell>
        </row>
        <row r="101">
          <cell r="O101" t="str">
            <v>8500-12</v>
          </cell>
          <cell r="P101">
            <v>310</v>
          </cell>
          <cell r="Q101">
            <v>160</v>
          </cell>
        </row>
        <row r="102">
          <cell r="O102" t="str">
            <v>8500-16</v>
          </cell>
          <cell r="P102">
            <v>420</v>
          </cell>
          <cell r="Q102">
            <v>210</v>
          </cell>
        </row>
        <row r="103">
          <cell r="O103" t="str">
            <v>8500-20</v>
          </cell>
          <cell r="P103">
            <v>640</v>
          </cell>
          <cell r="Q103">
            <v>260</v>
          </cell>
        </row>
        <row r="104">
          <cell r="O104" t="str">
            <v>8500-25</v>
          </cell>
          <cell r="P104">
            <v>800</v>
          </cell>
          <cell r="Q104">
            <v>330</v>
          </cell>
        </row>
        <row r="105">
          <cell r="O105" t="str">
            <v>8500-28</v>
          </cell>
          <cell r="P105">
            <v>900</v>
          </cell>
          <cell r="Q105">
            <v>370</v>
          </cell>
        </row>
        <row r="106">
          <cell r="O106" t="str">
            <v>8500-32</v>
          </cell>
          <cell r="P106">
            <v>1020</v>
          </cell>
          <cell r="Q106">
            <v>420</v>
          </cell>
        </row>
        <row r="107">
          <cell r="O107" t="str">
            <v>8500-36</v>
          </cell>
          <cell r="P107">
            <v>1150</v>
          </cell>
          <cell r="Q107">
            <v>470</v>
          </cell>
        </row>
        <row r="108">
          <cell r="O108" t="str">
            <v>9000-10</v>
          </cell>
          <cell r="P108">
            <v>170</v>
          </cell>
          <cell r="Q108">
            <v>150</v>
          </cell>
        </row>
        <row r="109">
          <cell r="O109" t="str">
            <v>9000-12</v>
          </cell>
          <cell r="P109">
            <v>310</v>
          </cell>
          <cell r="Q109">
            <v>160</v>
          </cell>
        </row>
        <row r="110">
          <cell r="O110" t="str">
            <v>9000-16</v>
          </cell>
          <cell r="P110">
            <v>410</v>
          </cell>
          <cell r="Q110">
            <v>210</v>
          </cell>
        </row>
        <row r="111">
          <cell r="O111" t="str">
            <v>9000-20</v>
          </cell>
          <cell r="P111">
            <v>620</v>
          </cell>
          <cell r="Q111">
            <v>260</v>
          </cell>
        </row>
        <row r="112">
          <cell r="O112" t="str">
            <v>9000-25</v>
          </cell>
          <cell r="P112">
            <v>780</v>
          </cell>
          <cell r="Q112">
            <v>320</v>
          </cell>
        </row>
        <row r="113">
          <cell r="O113" t="str">
            <v>9000-28</v>
          </cell>
          <cell r="P113">
            <v>870</v>
          </cell>
          <cell r="Q113">
            <v>360</v>
          </cell>
        </row>
        <row r="114">
          <cell r="O114" t="str">
            <v>9000-32</v>
          </cell>
          <cell r="P114">
            <v>990</v>
          </cell>
          <cell r="Q114">
            <v>410</v>
          </cell>
        </row>
        <row r="115">
          <cell r="O115" t="str">
            <v>9000-36</v>
          </cell>
          <cell r="P115">
            <v>1120</v>
          </cell>
          <cell r="Q115">
            <v>460</v>
          </cell>
        </row>
        <row r="116">
          <cell r="O116" t="str">
            <v>9500-10</v>
          </cell>
          <cell r="P116">
            <v>170</v>
          </cell>
          <cell r="Q116">
            <v>150</v>
          </cell>
        </row>
        <row r="117">
          <cell r="O117" t="str">
            <v>9500-12</v>
          </cell>
          <cell r="P117">
            <v>300</v>
          </cell>
          <cell r="Q117">
            <v>150</v>
          </cell>
        </row>
        <row r="118">
          <cell r="O118" t="str">
            <v>9500-16</v>
          </cell>
          <cell r="P118">
            <v>390</v>
          </cell>
          <cell r="Q118">
            <v>200</v>
          </cell>
        </row>
        <row r="119">
          <cell r="O119" t="str">
            <v>9500-20</v>
          </cell>
          <cell r="P119">
            <v>610</v>
          </cell>
          <cell r="Q119">
            <v>250</v>
          </cell>
        </row>
        <row r="120">
          <cell r="O120" t="str">
            <v>9500-25</v>
          </cell>
          <cell r="P120">
            <v>760</v>
          </cell>
          <cell r="Q120">
            <v>310</v>
          </cell>
        </row>
        <row r="121">
          <cell r="O121" t="str">
            <v>9500-28</v>
          </cell>
          <cell r="P121">
            <v>850</v>
          </cell>
          <cell r="Q121">
            <v>350</v>
          </cell>
        </row>
        <row r="122">
          <cell r="O122" t="str">
            <v>9500-32</v>
          </cell>
          <cell r="P122">
            <v>970</v>
          </cell>
          <cell r="Q122">
            <v>400</v>
          </cell>
        </row>
        <row r="123">
          <cell r="O123" t="str">
            <v>9500-36</v>
          </cell>
          <cell r="P123">
            <v>1090</v>
          </cell>
          <cell r="Q123">
            <v>450</v>
          </cell>
        </row>
        <row r="124">
          <cell r="O124" t="str">
            <v>10000-10</v>
          </cell>
          <cell r="P124">
            <v>160</v>
          </cell>
          <cell r="Q124">
            <v>150</v>
          </cell>
        </row>
        <row r="125">
          <cell r="O125" t="str">
            <v>10000-12</v>
          </cell>
          <cell r="P125">
            <v>290</v>
          </cell>
          <cell r="Q125">
            <v>150</v>
          </cell>
        </row>
        <row r="126">
          <cell r="O126" t="str">
            <v>10000-16</v>
          </cell>
          <cell r="P126">
            <v>380</v>
          </cell>
          <cell r="Q126">
            <v>200</v>
          </cell>
        </row>
        <row r="127">
          <cell r="O127" t="str">
            <v>10000-20</v>
          </cell>
          <cell r="P127">
            <v>590</v>
          </cell>
          <cell r="Q127">
            <v>240</v>
          </cell>
        </row>
        <row r="128">
          <cell r="O128" t="str">
            <v>10000-25</v>
          </cell>
          <cell r="P128">
            <v>740</v>
          </cell>
          <cell r="Q128">
            <v>300</v>
          </cell>
        </row>
        <row r="129">
          <cell r="O129" t="str">
            <v>10000-28</v>
          </cell>
          <cell r="P129">
            <v>830</v>
          </cell>
          <cell r="Q129">
            <v>340</v>
          </cell>
        </row>
        <row r="130">
          <cell r="O130" t="str">
            <v>10000-32</v>
          </cell>
          <cell r="P130">
            <v>940</v>
          </cell>
          <cell r="Q130">
            <v>390</v>
          </cell>
        </row>
        <row r="131">
          <cell r="O131" t="str">
            <v>10000-36</v>
          </cell>
          <cell r="P131">
            <v>1060</v>
          </cell>
          <cell r="Q131">
            <v>440</v>
          </cell>
        </row>
        <row r="132">
          <cell r="O132" t="str">
            <v>10500-10</v>
          </cell>
          <cell r="P132">
            <v>160</v>
          </cell>
          <cell r="Q132">
            <v>150</v>
          </cell>
        </row>
        <row r="133">
          <cell r="O133" t="str">
            <v>10500-12</v>
          </cell>
          <cell r="P133">
            <v>290</v>
          </cell>
          <cell r="Q133">
            <v>150</v>
          </cell>
        </row>
        <row r="134">
          <cell r="O134" t="str">
            <v>10500-16</v>
          </cell>
          <cell r="P134">
            <v>380</v>
          </cell>
          <cell r="Q134">
            <v>200</v>
          </cell>
        </row>
        <row r="135">
          <cell r="O135" t="str">
            <v>10500-20</v>
          </cell>
          <cell r="P135">
            <v>590</v>
          </cell>
          <cell r="Q135">
            <v>240</v>
          </cell>
        </row>
        <row r="136">
          <cell r="O136" t="str">
            <v>10500-25</v>
          </cell>
          <cell r="P136">
            <v>740</v>
          </cell>
          <cell r="Q136">
            <v>300</v>
          </cell>
        </row>
        <row r="137">
          <cell r="O137" t="str">
            <v>10500-28</v>
          </cell>
          <cell r="P137">
            <v>830</v>
          </cell>
          <cell r="Q137">
            <v>340</v>
          </cell>
        </row>
        <row r="138">
          <cell r="O138" t="str">
            <v>10500-32</v>
          </cell>
          <cell r="P138">
            <v>940</v>
          </cell>
          <cell r="Q138">
            <v>390</v>
          </cell>
        </row>
        <row r="139">
          <cell r="O139" t="str">
            <v>10500-36</v>
          </cell>
          <cell r="P139">
            <v>1060</v>
          </cell>
          <cell r="Q139">
            <v>440</v>
          </cell>
        </row>
        <row r="140">
          <cell r="O140" t="str">
            <v>11000-10</v>
          </cell>
          <cell r="P140">
            <v>160</v>
          </cell>
          <cell r="Q140">
            <v>150</v>
          </cell>
        </row>
        <row r="141">
          <cell r="O141" t="str">
            <v>11000-12</v>
          </cell>
          <cell r="P141">
            <v>290</v>
          </cell>
          <cell r="Q141">
            <v>150</v>
          </cell>
        </row>
        <row r="142">
          <cell r="O142" t="str">
            <v>11000-16</v>
          </cell>
          <cell r="P142">
            <v>380</v>
          </cell>
          <cell r="Q142">
            <v>200</v>
          </cell>
        </row>
        <row r="143">
          <cell r="O143" t="str">
            <v>11000-20</v>
          </cell>
          <cell r="P143">
            <v>590</v>
          </cell>
          <cell r="Q143">
            <v>240</v>
          </cell>
        </row>
        <row r="144">
          <cell r="O144" t="str">
            <v>11000-25</v>
          </cell>
          <cell r="P144">
            <v>740</v>
          </cell>
          <cell r="Q144">
            <v>300</v>
          </cell>
        </row>
        <row r="145">
          <cell r="O145" t="str">
            <v>11000-28</v>
          </cell>
          <cell r="P145">
            <v>830</v>
          </cell>
          <cell r="Q145">
            <v>340</v>
          </cell>
        </row>
        <row r="146">
          <cell r="O146" t="str">
            <v>11000-32</v>
          </cell>
          <cell r="P146">
            <v>940</v>
          </cell>
          <cell r="Q146">
            <v>390</v>
          </cell>
        </row>
        <row r="147">
          <cell r="O147" t="str">
            <v>11000-36</v>
          </cell>
          <cell r="P147">
            <v>1060</v>
          </cell>
          <cell r="Q147">
            <v>440</v>
          </cell>
        </row>
        <row r="148">
          <cell r="O148" t="str">
            <v>11500-10</v>
          </cell>
          <cell r="P148">
            <v>160</v>
          </cell>
          <cell r="Q148">
            <v>150</v>
          </cell>
        </row>
        <row r="149">
          <cell r="O149" t="str">
            <v>11500-12</v>
          </cell>
          <cell r="P149">
            <v>290</v>
          </cell>
          <cell r="Q149">
            <v>150</v>
          </cell>
        </row>
        <row r="150">
          <cell r="O150" t="str">
            <v>11500-16</v>
          </cell>
          <cell r="P150">
            <v>380</v>
          </cell>
          <cell r="Q150">
            <v>200</v>
          </cell>
        </row>
        <row r="151">
          <cell r="O151" t="str">
            <v>11500-20</v>
          </cell>
          <cell r="P151">
            <v>590</v>
          </cell>
          <cell r="Q151">
            <v>240</v>
          </cell>
        </row>
        <row r="152">
          <cell r="O152" t="str">
            <v>11500-25</v>
          </cell>
          <cell r="P152">
            <v>740</v>
          </cell>
          <cell r="Q152">
            <v>300</v>
          </cell>
        </row>
        <row r="153">
          <cell r="O153" t="str">
            <v>11500-28</v>
          </cell>
          <cell r="P153">
            <v>830</v>
          </cell>
          <cell r="Q153">
            <v>340</v>
          </cell>
        </row>
        <row r="154">
          <cell r="O154" t="str">
            <v>11500-32</v>
          </cell>
          <cell r="P154">
            <v>940</v>
          </cell>
          <cell r="Q154">
            <v>390</v>
          </cell>
        </row>
        <row r="155">
          <cell r="O155" t="str">
            <v>11500-36</v>
          </cell>
          <cell r="P155">
            <v>1060</v>
          </cell>
          <cell r="Q155">
            <v>440</v>
          </cell>
        </row>
        <row r="156">
          <cell r="O156" t="str">
            <v>12000-10</v>
          </cell>
          <cell r="P156">
            <v>160</v>
          </cell>
          <cell r="Q156">
            <v>150</v>
          </cell>
        </row>
        <row r="157">
          <cell r="O157" t="str">
            <v>12000-12</v>
          </cell>
          <cell r="P157">
            <v>290</v>
          </cell>
          <cell r="Q157">
            <v>150</v>
          </cell>
        </row>
        <row r="158">
          <cell r="O158" t="str">
            <v>12000-16</v>
          </cell>
          <cell r="P158">
            <v>380</v>
          </cell>
          <cell r="Q158">
            <v>200</v>
          </cell>
        </row>
        <row r="159">
          <cell r="O159" t="str">
            <v>12000-20</v>
          </cell>
          <cell r="P159">
            <v>590</v>
          </cell>
          <cell r="Q159">
            <v>240</v>
          </cell>
        </row>
        <row r="160">
          <cell r="O160" t="str">
            <v>12000-25</v>
          </cell>
          <cell r="P160">
            <v>740</v>
          </cell>
          <cell r="Q160">
            <v>300</v>
          </cell>
        </row>
        <row r="161">
          <cell r="O161" t="str">
            <v>12000-28</v>
          </cell>
          <cell r="P161">
            <v>830</v>
          </cell>
          <cell r="Q161">
            <v>340</v>
          </cell>
        </row>
        <row r="162">
          <cell r="O162" t="str">
            <v>12000-32</v>
          </cell>
          <cell r="P162">
            <v>940</v>
          </cell>
          <cell r="Q162">
            <v>390</v>
          </cell>
        </row>
        <row r="163">
          <cell r="O163" t="str">
            <v>12000-36</v>
          </cell>
          <cell r="P163">
            <v>1060</v>
          </cell>
          <cell r="Q163">
            <v>440</v>
          </cell>
        </row>
      </sheetData>
      <sheetData sheetId="15"/>
      <sheetData sheetId="16"/>
      <sheetData sheetId="17"/>
      <sheetData sheetId="18"/>
      <sheetData sheetId="19"/>
      <sheetData sheetId="20">
        <row r="31">
          <cell r="W31">
            <v>20.684234476482025</v>
          </cell>
          <cell r="X31">
            <v>1.31</v>
          </cell>
        </row>
        <row r="32">
          <cell r="W32">
            <v>24.131606889229026</v>
          </cell>
          <cell r="X32">
            <v>1.27</v>
          </cell>
          <cell r="Z32" t="str">
            <v>A36 Grade 36</v>
          </cell>
          <cell r="AA32">
            <v>248.21081371778428</v>
          </cell>
          <cell r="AB32">
            <v>1.5</v>
          </cell>
        </row>
        <row r="33">
          <cell r="W33">
            <v>27.57897930197603</v>
          </cell>
          <cell r="X33">
            <v>1.24</v>
          </cell>
          <cell r="Z33" t="str">
            <v>A992 Grade 50</v>
          </cell>
          <cell r="AA33">
            <v>344.73724127470041</v>
          </cell>
          <cell r="AB33">
            <v>1.1000000000000001</v>
          </cell>
        </row>
        <row r="34">
          <cell r="W34">
            <v>31.026351714723035</v>
          </cell>
          <cell r="X34">
            <v>1.21</v>
          </cell>
          <cell r="Z34" t="str">
            <v>A572 Grade 50</v>
          </cell>
          <cell r="AA34">
            <v>344.73724127470041</v>
          </cell>
          <cell r="AB34">
            <v>1.1000000000000001</v>
          </cell>
        </row>
        <row r="35">
          <cell r="W35">
            <v>34.473724127470042</v>
          </cell>
          <cell r="X35">
            <v>1.19</v>
          </cell>
          <cell r="Z35" t="str">
            <v>A572 Grade 55</v>
          </cell>
          <cell r="AA35">
            <v>379.21096540217042</v>
          </cell>
          <cell r="AB35">
            <v>1.1000000000000001</v>
          </cell>
        </row>
        <row r="36">
          <cell r="W36">
            <v>37.921096540217043</v>
          </cell>
          <cell r="X36">
            <v>1.17</v>
          </cell>
          <cell r="Z36" t="str">
            <v>A913 Grade 50</v>
          </cell>
          <cell r="AA36">
            <v>344.73724127470041</v>
          </cell>
          <cell r="AB36">
            <v>1.1000000000000001</v>
          </cell>
        </row>
        <row r="37">
          <cell r="W37">
            <v>37.921096540217043</v>
          </cell>
          <cell r="X37">
            <v>1.17</v>
          </cell>
          <cell r="Z37" t="str">
            <v>A913 Grade 60</v>
          </cell>
          <cell r="AA37">
            <v>413.68468952964048</v>
          </cell>
          <cell r="AB37">
            <v>1.1000000000000001</v>
          </cell>
        </row>
        <row r="38">
          <cell r="W38">
            <v>41.368468952964051</v>
          </cell>
          <cell r="X38">
            <v>1.1499999999999999</v>
          </cell>
          <cell r="Z38" t="str">
            <v>A913 Grade 65</v>
          </cell>
          <cell r="AA38">
            <v>448.15841365711054</v>
          </cell>
          <cell r="AB38">
            <v>1.1000000000000001</v>
          </cell>
        </row>
        <row r="39">
          <cell r="W39">
            <v>44.815841365711051</v>
          </cell>
          <cell r="X39">
            <v>1.1399999999999999</v>
          </cell>
          <cell r="Z39" t="str">
            <v>A913 Grade 70</v>
          </cell>
          <cell r="AA39">
            <v>482.63213778458055</v>
          </cell>
          <cell r="AB39">
            <v>1.1000000000000001</v>
          </cell>
        </row>
        <row r="40">
          <cell r="W40">
            <v>48.263213778458052</v>
          </cell>
          <cell r="X40">
            <v>1.1299999999999999</v>
          </cell>
        </row>
        <row r="41">
          <cell r="W41">
            <v>51.71058619120506</v>
          </cell>
          <cell r="X41">
            <v>1.1200000000000001</v>
          </cell>
        </row>
        <row r="42">
          <cell r="W42">
            <v>55.157958603952061</v>
          </cell>
          <cell r="X42">
            <v>1.1100000000000001</v>
          </cell>
        </row>
        <row r="43">
          <cell r="W43">
            <v>58.605331016699068</v>
          </cell>
          <cell r="X43">
            <v>1.105</v>
          </cell>
        </row>
        <row r="44">
          <cell r="W44">
            <v>62.052703429446069</v>
          </cell>
          <cell r="X44">
            <v>1.1000000000000001</v>
          </cell>
        </row>
        <row r="45">
          <cell r="W45">
            <v>65.50007584219307</v>
          </cell>
          <cell r="X45">
            <v>1.095</v>
          </cell>
        </row>
        <row r="46">
          <cell r="W46">
            <v>68.947448254940085</v>
          </cell>
          <cell r="X46">
            <v>1.0900000000000001</v>
          </cell>
          <cell r="Z46" t="str">
            <v>A36 Grade 36</v>
          </cell>
          <cell r="AA46">
            <v>248.21081371778428</v>
          </cell>
          <cell r="AB46">
            <v>1.3</v>
          </cell>
        </row>
        <row r="47">
          <cell r="W47">
            <v>72.394820667687085</v>
          </cell>
          <cell r="X47">
            <v>1.0925</v>
          </cell>
          <cell r="Z47" t="str">
            <v>A572 Grade 50</v>
          </cell>
          <cell r="AA47">
            <v>344.73724127470041</v>
          </cell>
          <cell r="AB47">
            <v>1.1000000000000001</v>
          </cell>
        </row>
        <row r="48">
          <cell r="W48">
            <v>75.842193080434086</v>
          </cell>
          <cell r="X48">
            <v>1.095</v>
          </cell>
          <cell r="Z48" t="str">
            <v>A572 Grade 55</v>
          </cell>
          <cell r="AA48">
            <v>379.21096540217042</v>
          </cell>
          <cell r="AB48">
            <v>1.1000000000000001</v>
          </cell>
        </row>
        <row r="49">
          <cell r="W49">
            <v>79.289565493181087</v>
          </cell>
          <cell r="X49">
            <v>1.0974999999999999</v>
          </cell>
        </row>
        <row r="50">
          <cell r="W50">
            <v>82.736937905928102</v>
          </cell>
          <cell r="X50">
            <v>1.08</v>
          </cell>
        </row>
        <row r="51">
          <cell r="W51">
            <v>49.64216274355686</v>
          </cell>
          <cell r="X51">
            <v>1.1259999999999999</v>
          </cell>
        </row>
        <row r="107">
          <cell r="W107" t="str">
            <v>Case 6</v>
          </cell>
        </row>
        <row r="129">
          <cell r="W129" t="str">
            <v>Case 6</v>
          </cell>
        </row>
      </sheetData>
      <sheetData sheetId="21">
        <row r="1">
          <cell r="A1" t="str">
            <v>Case 1</v>
          </cell>
        </row>
        <row r="2">
          <cell r="A2" t="str">
            <v>Case 2</v>
          </cell>
        </row>
        <row r="3">
          <cell r="A3" t="str">
            <v>Case 3</v>
          </cell>
        </row>
        <row r="4">
          <cell r="A4" t="str">
            <v>Case 4</v>
          </cell>
        </row>
        <row r="5">
          <cell r="A5" t="str">
            <v>Case 5</v>
          </cell>
        </row>
        <row r="6">
          <cell r="A6" t="str">
            <v>Case 6</v>
          </cell>
        </row>
        <row r="11">
          <cell r="A11" t="str">
            <v>Case 1</v>
          </cell>
        </row>
        <row r="12">
          <cell r="A12" t="str">
            <v>Case 2</v>
          </cell>
        </row>
        <row r="13">
          <cell r="A13" t="str">
            <v>Case 3</v>
          </cell>
        </row>
        <row r="14">
          <cell r="A14" t="str">
            <v>Case 4</v>
          </cell>
        </row>
        <row r="15">
          <cell r="A15" t="str">
            <v>Case 5</v>
          </cell>
        </row>
        <row r="16">
          <cell r="A16" t="str">
            <v>Case 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B168"/>
  <sheetViews>
    <sheetView tabSelected="1" zoomScale="70" zoomScaleNormal="70" workbookViewId="0">
      <selection activeCell="M17" sqref="M17"/>
    </sheetView>
  </sheetViews>
  <sheetFormatPr defaultRowHeight="15"/>
  <cols>
    <col min="1" max="1" width="21.5703125" style="66" customWidth="1"/>
    <col min="2" max="2" width="22.28515625" style="1" customWidth="1"/>
    <col min="3" max="3" width="24.140625" style="2" customWidth="1"/>
    <col min="4" max="4" width="14.140625" style="2" customWidth="1"/>
    <col min="5" max="5" width="15.28515625" style="2" bestFit="1" customWidth="1"/>
    <col min="6" max="6" width="12" style="1" customWidth="1"/>
    <col min="7" max="7" width="13" style="1" customWidth="1"/>
    <col min="8" max="9" width="9.140625" style="1"/>
    <col min="10" max="10" width="9.42578125" style="1" customWidth="1"/>
    <col min="11" max="11" width="13.140625" style="1" customWidth="1"/>
    <col min="12" max="13" width="11.42578125" style="1" customWidth="1"/>
    <col min="14" max="15" width="9.140625" style="1"/>
    <col min="16" max="16" width="9.140625" style="1" customWidth="1"/>
    <col min="17" max="18" width="9.140625" style="1"/>
    <col min="19" max="19" width="12.7109375" style="1" customWidth="1"/>
    <col min="20" max="20" width="13" style="1" customWidth="1"/>
    <col min="21" max="21" width="11.5703125" style="1" customWidth="1"/>
    <col min="22" max="24" width="9.140625" style="1"/>
    <col min="25" max="25" width="11" style="1" customWidth="1"/>
    <col min="26" max="26" width="14.140625" style="1" customWidth="1"/>
    <col min="27" max="27" width="11.85546875" style="1" customWidth="1"/>
    <col min="28" max="36" width="9.140625" style="1"/>
    <col min="37" max="37" width="12.85546875" style="1" customWidth="1"/>
    <col min="38" max="38" width="9.140625" style="1"/>
    <col min="39" max="42" width="0" style="1" hidden="1" customWidth="1"/>
    <col min="43" max="43" width="14" style="1" hidden="1" customWidth="1"/>
    <col min="44" max="44" width="0" style="1" hidden="1" customWidth="1"/>
    <col min="45" max="51" width="9.140625" style="1"/>
    <col min="52" max="52" width="3.28515625" style="69" customWidth="1"/>
    <col min="53" max="53" width="1.7109375" style="75" customWidth="1"/>
    <col min="54" max="54" width="3" style="3" customWidth="1"/>
    <col min="55" max="55" width="18.5703125" style="1" hidden="1" customWidth="1"/>
    <col min="56" max="56" width="18.5703125" style="77" hidden="1" customWidth="1"/>
    <col min="57" max="57" width="18.5703125" style="71" hidden="1" customWidth="1"/>
    <col min="58" max="59" width="18.5703125" style="77" hidden="1" customWidth="1"/>
    <col min="60" max="60" width="18.7109375" style="77" hidden="1" customWidth="1"/>
    <col min="61" max="61" width="14.5703125" style="77" hidden="1" customWidth="1"/>
    <col min="62" max="62" width="18" style="77" hidden="1" customWidth="1"/>
    <col min="63" max="64" width="14.5703125" style="77" hidden="1" customWidth="1"/>
    <col min="65" max="65" width="0" style="83" hidden="1" customWidth="1"/>
    <col min="66" max="68" width="0" style="1" hidden="1" customWidth="1"/>
    <col min="69" max="69" width="0" style="83" hidden="1" customWidth="1"/>
    <col min="70" max="72" width="0" style="1" hidden="1" customWidth="1"/>
    <col min="73" max="73" width="9.140625" style="83"/>
    <col min="74" max="16384" width="9.140625" style="1"/>
  </cols>
  <sheetData>
    <row r="1" spans="1:80" ht="15.75" thickBot="1">
      <c r="A1" s="66" t="s">
        <v>208</v>
      </c>
      <c r="B1" s="59" t="s">
        <v>43</v>
      </c>
      <c r="D1" s="1"/>
      <c r="E1" s="1"/>
    </row>
    <row r="2" spans="1:80" ht="15.75" thickBot="1">
      <c r="A2" s="66" t="s">
        <v>219</v>
      </c>
      <c r="B2" s="59">
        <v>40</v>
      </c>
      <c r="C2" s="2" t="s">
        <v>3</v>
      </c>
    </row>
    <row r="3" spans="1:80" ht="15.75" thickBot="1">
      <c r="A3" s="67" t="s">
        <v>220</v>
      </c>
      <c r="B3" s="60">
        <v>414</v>
      </c>
      <c r="C3" s="1" t="s">
        <v>221</v>
      </c>
      <c r="AA3" s="58"/>
      <c r="AG3" s="58"/>
    </row>
    <row r="4" spans="1:80">
      <c r="Q4" s="91" t="s">
        <v>207</v>
      </c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  <c r="AD4" s="91"/>
      <c r="AE4" s="91"/>
      <c r="AG4" s="92" t="s">
        <v>205</v>
      </c>
      <c r="AH4" s="92"/>
      <c r="AI4" s="92"/>
      <c r="AJ4" s="92"/>
      <c r="AK4" s="92"/>
      <c r="AL4" s="92"/>
      <c r="AM4" s="92" t="s">
        <v>206</v>
      </c>
      <c r="AN4" s="92"/>
      <c r="AO4" s="92"/>
      <c r="AP4" s="92"/>
      <c r="AQ4" s="92"/>
      <c r="AR4" s="92"/>
      <c r="AS4" s="91" t="s">
        <v>229</v>
      </c>
      <c r="AT4" s="91"/>
      <c r="AU4" s="91"/>
      <c r="AV4" s="91"/>
      <c r="AW4" s="91"/>
      <c r="AX4" s="91"/>
    </row>
    <row r="5" spans="1:80" ht="30">
      <c r="A5" s="68" t="s">
        <v>5</v>
      </c>
      <c r="B5" s="38" t="s">
        <v>6</v>
      </c>
      <c r="C5" s="39" t="s">
        <v>27</v>
      </c>
      <c r="D5" s="39" t="s">
        <v>28</v>
      </c>
      <c r="E5" s="63" t="s">
        <v>235</v>
      </c>
      <c r="F5" s="92" t="s">
        <v>205</v>
      </c>
      <c r="G5" s="92"/>
      <c r="H5" s="92"/>
      <c r="I5" s="92"/>
      <c r="J5" s="92" t="s">
        <v>229</v>
      </c>
      <c r="K5" s="92"/>
      <c r="L5" s="92" t="s">
        <v>206</v>
      </c>
      <c r="M5" s="92"/>
      <c r="N5" s="92"/>
      <c r="O5" s="92"/>
      <c r="Q5" s="1" t="s">
        <v>210</v>
      </c>
      <c r="R5" s="1" t="s">
        <v>212</v>
      </c>
      <c r="S5" s="1" t="s">
        <v>213</v>
      </c>
      <c r="T5" s="1" t="s">
        <v>214</v>
      </c>
      <c r="U5" s="1" t="s">
        <v>215</v>
      </c>
      <c r="V5" s="1" t="s">
        <v>216</v>
      </c>
      <c r="W5" s="1" t="s">
        <v>217</v>
      </c>
      <c r="X5" s="1" t="s">
        <v>218</v>
      </c>
      <c r="Y5" s="61" t="s">
        <v>226</v>
      </c>
      <c r="Z5" s="61" t="s">
        <v>224</v>
      </c>
      <c r="AA5" s="38" t="s">
        <v>203</v>
      </c>
      <c r="AB5" s="1" t="s">
        <v>222</v>
      </c>
      <c r="AC5" s="1" t="s">
        <v>223</v>
      </c>
      <c r="AD5" s="1" t="s">
        <v>227</v>
      </c>
      <c r="AE5" s="1" t="s">
        <v>228</v>
      </c>
      <c r="AG5" s="93" t="s">
        <v>234</v>
      </c>
      <c r="AH5" s="93"/>
      <c r="AI5" s="93" t="s">
        <v>233</v>
      </c>
      <c r="AJ5" s="93"/>
      <c r="AK5" s="93" t="s">
        <v>238</v>
      </c>
      <c r="AL5" s="93"/>
      <c r="AM5" s="93" t="s">
        <v>234</v>
      </c>
      <c r="AN5" s="93"/>
      <c r="AO5" s="93" t="s">
        <v>233</v>
      </c>
      <c r="AP5" s="93"/>
      <c r="AQ5" s="93" t="s">
        <v>238</v>
      </c>
      <c r="AR5" s="93"/>
      <c r="AS5" s="88" t="s">
        <v>248</v>
      </c>
      <c r="AT5" s="88"/>
      <c r="AU5" s="88"/>
      <c r="AV5" s="88" t="s">
        <v>249</v>
      </c>
      <c r="AW5" s="88"/>
      <c r="AX5" s="88"/>
      <c r="AY5" s="1" t="s">
        <v>255</v>
      </c>
      <c r="BC5" s="90" t="s">
        <v>258</v>
      </c>
      <c r="BD5" s="90" t="s">
        <v>262</v>
      </c>
      <c r="BE5" s="89" t="s">
        <v>259</v>
      </c>
      <c r="BF5" s="78" t="s">
        <v>261</v>
      </c>
      <c r="BG5" s="89" t="s">
        <v>260</v>
      </c>
      <c r="BH5" s="89" t="s">
        <v>265</v>
      </c>
      <c r="BI5" s="89" t="s">
        <v>263</v>
      </c>
      <c r="BJ5" s="89"/>
      <c r="BK5" s="89"/>
      <c r="BL5" s="89"/>
      <c r="BM5" s="92" t="s">
        <v>205</v>
      </c>
      <c r="BN5" s="92"/>
      <c r="BO5" s="92"/>
      <c r="BP5" s="92"/>
      <c r="BQ5" s="92" t="s">
        <v>206</v>
      </c>
      <c r="BR5" s="92"/>
      <c r="BS5" s="92"/>
      <c r="BT5" s="92"/>
      <c r="BV5" s="69"/>
      <c r="BW5" s="69"/>
      <c r="BX5" s="69"/>
      <c r="BY5" s="69"/>
      <c r="BZ5" s="69"/>
      <c r="CA5" s="69"/>
      <c r="CB5" s="69"/>
    </row>
    <row r="6" spans="1:80">
      <c r="F6" s="1" t="s">
        <v>0</v>
      </c>
      <c r="G6" s="1" t="s">
        <v>1</v>
      </c>
      <c r="H6" s="38" t="s">
        <v>2</v>
      </c>
      <c r="I6" s="38" t="s">
        <v>24</v>
      </c>
      <c r="J6" s="1" t="s">
        <v>0</v>
      </c>
      <c r="K6" s="1" t="s">
        <v>1</v>
      </c>
      <c r="L6" s="1" t="s">
        <v>0</v>
      </c>
      <c r="M6" s="1" t="s">
        <v>1</v>
      </c>
      <c r="N6" s="38" t="s">
        <v>2</v>
      </c>
      <c r="O6" s="38" t="s">
        <v>24</v>
      </c>
      <c r="Q6" s="1" t="s">
        <v>211</v>
      </c>
      <c r="R6" s="1" t="s">
        <v>211</v>
      </c>
      <c r="S6" s="1" t="s">
        <v>211</v>
      </c>
      <c r="T6" s="1" t="s">
        <v>211</v>
      </c>
      <c r="U6" s="1" t="s">
        <v>211</v>
      </c>
      <c r="V6" s="1" t="s">
        <v>211</v>
      </c>
      <c r="W6" s="1" t="s">
        <v>211</v>
      </c>
      <c r="X6" s="1" t="s">
        <v>211</v>
      </c>
      <c r="Z6" s="1" t="s">
        <v>225</v>
      </c>
      <c r="AA6" s="1" t="s">
        <v>209</v>
      </c>
      <c r="AG6" s="1" t="s">
        <v>231</v>
      </c>
      <c r="AH6" s="1" t="s">
        <v>232</v>
      </c>
      <c r="AI6" s="1" t="s">
        <v>231</v>
      </c>
      <c r="AJ6" s="1" t="s">
        <v>232</v>
      </c>
      <c r="AK6" s="1" t="s">
        <v>236</v>
      </c>
      <c r="AL6" s="1" t="s">
        <v>237</v>
      </c>
      <c r="AM6" s="64" t="s">
        <v>240</v>
      </c>
      <c r="AN6" s="64" t="s">
        <v>239</v>
      </c>
      <c r="AO6" s="64" t="s">
        <v>240</v>
      </c>
      <c r="AP6" s="64" t="s">
        <v>239</v>
      </c>
      <c r="AQ6" s="64" t="s">
        <v>236</v>
      </c>
      <c r="AR6" s="64" t="s">
        <v>241</v>
      </c>
      <c r="AS6" s="1" t="s">
        <v>242</v>
      </c>
      <c r="AT6" s="1" t="s">
        <v>243</v>
      </c>
      <c r="AU6" s="1" t="s">
        <v>244</v>
      </c>
      <c r="AV6" s="1" t="s">
        <v>245</v>
      </c>
      <c r="AW6" s="1" t="s">
        <v>246</v>
      </c>
      <c r="AX6" s="1" t="s">
        <v>247</v>
      </c>
      <c r="BC6" s="91"/>
      <c r="BD6" s="90"/>
      <c r="BE6" s="89"/>
      <c r="BF6" s="78"/>
      <c r="BG6" s="89"/>
      <c r="BH6" s="89"/>
      <c r="BI6" s="78"/>
      <c r="BJ6" s="78"/>
      <c r="BK6" s="78"/>
      <c r="BL6" s="78"/>
      <c r="BM6" s="93" t="s">
        <v>234</v>
      </c>
      <c r="BN6" s="93"/>
      <c r="BO6" s="93" t="s">
        <v>233</v>
      </c>
      <c r="BP6" s="93"/>
      <c r="BQ6" s="93" t="s">
        <v>234</v>
      </c>
      <c r="BR6" s="93"/>
      <c r="BS6" s="93" t="s">
        <v>233</v>
      </c>
      <c r="BT6" s="93"/>
    </row>
    <row r="7" spans="1:80">
      <c r="G7" s="1" t="s">
        <v>230</v>
      </c>
      <c r="J7" s="1" t="s">
        <v>230</v>
      </c>
      <c r="K7" s="1" t="s">
        <v>230</v>
      </c>
      <c r="L7" s="1" t="s">
        <v>230</v>
      </c>
      <c r="M7" s="1" t="s">
        <v>230</v>
      </c>
      <c r="BI7" s="88" t="s">
        <v>264</v>
      </c>
      <c r="BJ7" s="88" t="s">
        <v>261</v>
      </c>
      <c r="BK7" s="88" t="s">
        <v>266</v>
      </c>
      <c r="BL7" s="88" t="s">
        <v>255</v>
      </c>
      <c r="BR7" s="69"/>
      <c r="BS7" s="69"/>
      <c r="BT7" s="69"/>
    </row>
    <row r="8" spans="1:80">
      <c r="L8" s="1" t="s">
        <v>271</v>
      </c>
      <c r="BI8" s="88"/>
      <c r="BJ8" s="88"/>
      <c r="BK8" s="88"/>
      <c r="BL8" s="88"/>
      <c r="BM8" s="83" t="s">
        <v>269</v>
      </c>
      <c r="BN8" s="1" t="s">
        <v>270</v>
      </c>
      <c r="BO8" s="1" t="s">
        <v>269</v>
      </c>
      <c r="BP8" s="1" t="s">
        <v>270</v>
      </c>
      <c r="BQ8" s="83" t="s">
        <v>269</v>
      </c>
      <c r="BR8" s="77" t="s">
        <v>270</v>
      </c>
      <c r="BS8" s="77" t="s">
        <v>269</v>
      </c>
      <c r="BT8" s="77" t="s">
        <v>270</v>
      </c>
    </row>
    <row r="9" spans="1:80">
      <c r="A9" s="66" t="s">
        <v>7</v>
      </c>
      <c r="B9" s="1" t="s">
        <v>8</v>
      </c>
      <c r="C9" s="77" t="str">
        <f>CONCATENATE(A9,"-",B9)</f>
        <v>FND-B1</v>
      </c>
      <c r="D9" s="2" t="s">
        <v>29</v>
      </c>
      <c r="E9" s="2" t="s">
        <v>4</v>
      </c>
      <c r="F9" s="1" t="s">
        <v>26</v>
      </c>
      <c r="G9" s="1">
        <v>1</v>
      </c>
      <c r="H9" s="1">
        <v>230</v>
      </c>
      <c r="I9" s="1">
        <v>32</v>
      </c>
      <c r="J9" s="1">
        <v>8.4</v>
      </c>
      <c r="K9" s="1">
        <v>1</v>
      </c>
      <c r="Q9" s="3"/>
      <c r="Z9" s="65"/>
      <c r="AH9" s="69"/>
      <c r="AJ9" s="69"/>
      <c r="AK9" s="69"/>
      <c r="AL9" s="69"/>
      <c r="AM9" s="69"/>
      <c r="BF9" s="3"/>
      <c r="BG9" s="79"/>
      <c r="BI9" s="80"/>
      <c r="BM9" s="84"/>
      <c r="BN9" s="74"/>
      <c r="BO9" s="74"/>
      <c r="BP9" s="74"/>
      <c r="BQ9" s="84"/>
      <c r="BR9" s="74"/>
      <c r="BS9" s="74"/>
      <c r="BT9" s="74"/>
    </row>
    <row r="10" spans="1:80">
      <c r="A10" s="66" t="str">
        <f>B9</f>
        <v>B1</v>
      </c>
      <c r="B10" s="1" t="s">
        <v>9</v>
      </c>
      <c r="C10" s="2" t="str">
        <f t="shared" ref="C10:C24" si="0">CONCATENATE(A10,"-",B10)</f>
        <v>B1-LG</v>
      </c>
      <c r="D10" s="2" t="s">
        <v>29</v>
      </c>
      <c r="E10" s="2" t="s">
        <v>4</v>
      </c>
      <c r="F10" s="1" t="s">
        <v>26</v>
      </c>
      <c r="G10" s="1">
        <v>1</v>
      </c>
      <c r="H10" s="1">
        <v>228</v>
      </c>
      <c r="I10" s="1">
        <v>32</v>
      </c>
      <c r="J10" s="1">
        <v>8.4</v>
      </c>
      <c r="K10" s="1">
        <v>1</v>
      </c>
      <c r="Q10" s="3"/>
      <c r="R10" s="64"/>
      <c r="S10" s="64"/>
      <c r="T10" s="64"/>
      <c r="U10" s="64"/>
      <c r="V10" s="64"/>
      <c r="W10" s="64"/>
      <c r="X10" s="64"/>
      <c r="Y10" s="64"/>
      <c r="Z10" s="65"/>
      <c r="AA10" s="64"/>
      <c r="AB10" s="64"/>
      <c r="AC10" s="64"/>
      <c r="AD10" s="64"/>
      <c r="AE10" s="64"/>
      <c r="BC10" s="79"/>
      <c r="BF10" s="3"/>
      <c r="BG10" s="79"/>
      <c r="BI10" s="80"/>
      <c r="BJ10" s="79"/>
      <c r="BM10" s="84"/>
      <c r="BN10" s="74"/>
      <c r="BO10" s="74"/>
      <c r="BP10" s="74"/>
      <c r="BQ10" s="84"/>
      <c r="BR10" s="74"/>
      <c r="BS10" s="74"/>
      <c r="BT10" s="74"/>
    </row>
    <row r="11" spans="1:80">
      <c r="A11" s="66" t="str">
        <f t="shared" ref="A11:A24" si="1">B10</f>
        <v>LG</v>
      </c>
      <c r="B11" s="1" t="s">
        <v>10</v>
      </c>
      <c r="C11" s="2" t="str">
        <f t="shared" si="0"/>
        <v>LG-L1</v>
      </c>
      <c r="D11" s="2" t="s">
        <v>29</v>
      </c>
      <c r="E11" s="2" t="s">
        <v>4</v>
      </c>
      <c r="F11" s="1" t="s">
        <v>26</v>
      </c>
      <c r="G11" s="1">
        <v>1</v>
      </c>
      <c r="H11" s="1">
        <v>225</v>
      </c>
      <c r="I11" s="1">
        <v>32</v>
      </c>
      <c r="J11" s="1">
        <v>8.4</v>
      </c>
      <c r="K11" s="1">
        <v>1</v>
      </c>
      <c r="Q11" s="3"/>
      <c r="R11" s="64"/>
      <c r="S11" s="64"/>
      <c r="T11" s="64"/>
      <c r="U11" s="64"/>
      <c r="V11" s="64"/>
      <c r="W11" s="64"/>
      <c r="X11" s="64"/>
      <c r="Y11" s="64"/>
      <c r="Z11" s="65"/>
      <c r="AA11" s="64"/>
      <c r="AB11" s="64"/>
      <c r="AC11" s="64"/>
      <c r="AD11" s="64"/>
      <c r="AE11" s="64"/>
      <c r="BC11" s="79"/>
      <c r="BF11" s="3"/>
      <c r="BG11" s="79"/>
      <c r="BI11" s="80"/>
      <c r="BJ11" s="79"/>
      <c r="BM11" s="84"/>
      <c r="BN11" s="74"/>
      <c r="BO11" s="74"/>
      <c r="BP11" s="74"/>
      <c r="BQ11" s="84"/>
      <c r="BR11" s="74"/>
      <c r="BS11" s="74"/>
      <c r="BT11" s="74"/>
    </row>
    <row r="12" spans="1:80">
      <c r="A12" s="66" t="str">
        <f t="shared" si="1"/>
        <v>L1</v>
      </c>
      <c r="B12" s="1" t="s">
        <v>11</v>
      </c>
      <c r="C12" s="2" t="str">
        <f t="shared" si="0"/>
        <v>L1-L5</v>
      </c>
      <c r="D12" s="2" t="s">
        <v>29</v>
      </c>
      <c r="E12" s="2" t="s">
        <v>4</v>
      </c>
      <c r="F12" s="1" t="s">
        <v>26</v>
      </c>
      <c r="G12" s="1">
        <v>1</v>
      </c>
      <c r="H12" s="1">
        <v>230</v>
      </c>
      <c r="I12" s="1">
        <v>32</v>
      </c>
      <c r="J12" s="1">
        <v>8.4</v>
      </c>
      <c r="K12" s="1">
        <v>1</v>
      </c>
      <c r="Q12" s="3"/>
      <c r="R12" s="64"/>
      <c r="S12" s="64"/>
      <c r="T12" s="64"/>
      <c r="U12" s="64"/>
      <c r="V12" s="64"/>
      <c r="W12" s="64"/>
      <c r="X12" s="64"/>
      <c r="Y12" s="64"/>
      <c r="Z12" s="65"/>
      <c r="AA12" s="64"/>
      <c r="AB12" s="64"/>
      <c r="AC12" s="64"/>
      <c r="AD12" s="64"/>
      <c r="AE12" s="64"/>
      <c r="BC12" s="79"/>
      <c r="BF12" s="3"/>
      <c r="BG12" s="79"/>
      <c r="BI12" s="80"/>
      <c r="BJ12" s="79"/>
      <c r="BM12" s="84"/>
      <c r="BN12" s="74"/>
      <c r="BO12" s="74"/>
      <c r="BP12" s="74"/>
      <c r="BQ12" s="84"/>
      <c r="BR12" s="74"/>
      <c r="BS12" s="74"/>
      <c r="BT12" s="74"/>
    </row>
    <row r="13" spans="1:80">
      <c r="A13" s="66" t="str">
        <f t="shared" si="1"/>
        <v>L5</v>
      </c>
      <c r="B13" s="1" t="s">
        <v>12</v>
      </c>
      <c r="C13" s="2" t="str">
        <f t="shared" si="0"/>
        <v>L5-L9</v>
      </c>
      <c r="D13" s="2" t="s">
        <v>29</v>
      </c>
      <c r="E13" s="2" t="s">
        <v>4</v>
      </c>
      <c r="F13" s="1" t="s">
        <v>26</v>
      </c>
      <c r="G13" s="1">
        <v>1</v>
      </c>
      <c r="H13" s="1">
        <v>195</v>
      </c>
      <c r="I13" s="1">
        <v>32</v>
      </c>
      <c r="J13" s="1">
        <v>8.4</v>
      </c>
      <c r="K13" s="1">
        <v>1</v>
      </c>
      <c r="Q13" s="3"/>
      <c r="R13" s="64"/>
      <c r="S13" s="64"/>
      <c r="T13" s="64"/>
      <c r="U13" s="64"/>
      <c r="V13" s="64"/>
      <c r="W13" s="64"/>
      <c r="X13" s="64"/>
      <c r="Y13" s="64"/>
      <c r="Z13" s="65"/>
      <c r="AA13" s="64"/>
      <c r="AB13" s="64"/>
      <c r="AC13" s="64"/>
      <c r="AD13" s="64"/>
      <c r="AE13" s="64"/>
      <c r="BC13" s="79"/>
      <c r="BF13" s="3"/>
      <c r="BG13" s="79"/>
      <c r="BI13" s="80"/>
      <c r="BJ13" s="79"/>
      <c r="BM13" s="84"/>
      <c r="BN13" s="74"/>
      <c r="BO13" s="74"/>
      <c r="BP13" s="74"/>
      <c r="BQ13" s="84"/>
      <c r="BR13" s="74"/>
      <c r="BS13" s="74"/>
      <c r="BT13" s="74"/>
    </row>
    <row r="14" spans="1:80">
      <c r="A14" s="66" t="str">
        <f t="shared" si="1"/>
        <v>L9</v>
      </c>
      <c r="B14" s="1" t="s">
        <v>13</v>
      </c>
      <c r="C14" s="2" t="str">
        <f t="shared" si="0"/>
        <v>L9-L13</v>
      </c>
      <c r="D14" s="2" t="s">
        <v>29</v>
      </c>
      <c r="E14" s="2" t="s">
        <v>4</v>
      </c>
      <c r="F14" s="1" t="s">
        <v>26</v>
      </c>
      <c r="G14" s="1">
        <v>1</v>
      </c>
      <c r="H14" s="1">
        <v>210</v>
      </c>
      <c r="I14" s="1">
        <v>28</v>
      </c>
      <c r="J14" s="1">
        <v>8.4</v>
      </c>
      <c r="K14" s="1">
        <v>1</v>
      </c>
      <c r="Q14" s="3"/>
      <c r="R14" s="64"/>
      <c r="S14" s="64"/>
      <c r="T14" s="64"/>
      <c r="U14" s="64"/>
      <c r="V14" s="64"/>
      <c r="W14" s="64"/>
      <c r="X14" s="64"/>
      <c r="Y14" s="64"/>
      <c r="Z14" s="65"/>
      <c r="AA14" s="64"/>
      <c r="AB14" s="64"/>
      <c r="AC14" s="64"/>
      <c r="AD14" s="64"/>
      <c r="AE14" s="64"/>
      <c r="BC14" s="79"/>
      <c r="BF14" s="3"/>
      <c r="BG14" s="79"/>
      <c r="BI14" s="80"/>
      <c r="BJ14" s="79"/>
      <c r="BM14" s="84"/>
      <c r="BN14" s="74"/>
      <c r="BO14" s="74"/>
      <c r="BP14" s="74"/>
      <c r="BQ14" s="84"/>
      <c r="BR14" s="74"/>
      <c r="BS14" s="74"/>
      <c r="BT14" s="74"/>
    </row>
    <row r="15" spans="1:80">
      <c r="A15" s="66" t="str">
        <f t="shared" si="1"/>
        <v>L13</v>
      </c>
      <c r="B15" s="1" t="s">
        <v>14</v>
      </c>
      <c r="C15" s="2" t="str">
        <f t="shared" si="0"/>
        <v>L13-L17</v>
      </c>
      <c r="D15" s="2" t="s">
        <v>29</v>
      </c>
      <c r="E15" s="2" t="s">
        <v>4</v>
      </c>
      <c r="F15" s="1">
        <v>3.25</v>
      </c>
      <c r="G15" s="1">
        <v>1</v>
      </c>
      <c r="H15" s="1">
        <v>80</v>
      </c>
      <c r="I15" s="1">
        <v>28</v>
      </c>
      <c r="J15" s="1">
        <v>1.9</v>
      </c>
      <c r="K15" s="1">
        <v>1</v>
      </c>
      <c r="L15" s="1">
        <v>3.25</v>
      </c>
      <c r="M15" s="1">
        <v>1</v>
      </c>
      <c r="N15" s="1">
        <v>80</v>
      </c>
      <c r="O15" s="1">
        <v>28</v>
      </c>
      <c r="Q15" s="3"/>
      <c r="R15" s="64"/>
      <c r="S15" s="64"/>
      <c r="T15" s="64"/>
      <c r="U15" s="64"/>
      <c r="V15" s="64"/>
      <c r="W15" s="64"/>
      <c r="X15" s="64"/>
      <c r="Y15" s="64"/>
      <c r="Z15" s="65"/>
      <c r="AA15" s="64"/>
      <c r="AB15" s="64"/>
      <c r="AC15" s="64"/>
      <c r="AD15" s="64"/>
      <c r="AE15" s="64"/>
      <c r="BC15" s="79"/>
      <c r="BF15" s="3"/>
      <c r="BG15" s="79"/>
      <c r="BI15" s="80"/>
      <c r="BJ15" s="79"/>
      <c r="BM15" s="84"/>
      <c r="BN15" s="74"/>
      <c r="BO15" s="74"/>
      <c r="BP15" s="74"/>
      <c r="BQ15" s="84"/>
      <c r="BR15" s="74"/>
      <c r="BS15" s="74"/>
      <c r="BT15" s="74"/>
    </row>
    <row r="16" spans="1:80">
      <c r="A16" s="66" t="str">
        <f t="shared" si="1"/>
        <v>L17</v>
      </c>
      <c r="B16" s="1" t="s">
        <v>15</v>
      </c>
      <c r="C16" s="2" t="str">
        <f t="shared" si="0"/>
        <v>L17-L21</v>
      </c>
      <c r="D16" s="2" t="s">
        <v>29</v>
      </c>
      <c r="E16" s="2" t="s">
        <v>4</v>
      </c>
      <c r="F16" s="1">
        <v>2.9</v>
      </c>
      <c r="G16" s="1">
        <v>1</v>
      </c>
      <c r="H16" s="1">
        <v>68</v>
      </c>
      <c r="I16" s="1">
        <v>25</v>
      </c>
      <c r="J16" s="1">
        <v>2.6</v>
      </c>
      <c r="K16" s="1">
        <v>1</v>
      </c>
      <c r="L16" s="1">
        <v>2.9</v>
      </c>
      <c r="M16" s="1">
        <v>1</v>
      </c>
      <c r="N16" s="1">
        <v>68</v>
      </c>
      <c r="O16" s="1">
        <v>25</v>
      </c>
      <c r="Q16" s="3"/>
      <c r="R16" s="64"/>
      <c r="S16" s="64"/>
      <c r="T16" s="64"/>
      <c r="U16" s="64"/>
      <c r="V16" s="64"/>
      <c r="W16" s="64"/>
      <c r="X16" s="64"/>
      <c r="Y16" s="64"/>
      <c r="Z16" s="65"/>
      <c r="AA16" s="64"/>
      <c r="AB16" s="64"/>
      <c r="AC16" s="64"/>
      <c r="AD16" s="64"/>
      <c r="AE16" s="64"/>
      <c r="AU16" s="87"/>
      <c r="BC16" s="79"/>
      <c r="BE16" s="80"/>
      <c r="BF16" s="3"/>
      <c r="BG16" s="79"/>
      <c r="BM16" s="84"/>
      <c r="BN16" s="74"/>
      <c r="BO16" s="74"/>
      <c r="BP16" s="74"/>
      <c r="BQ16" s="84"/>
      <c r="BR16" s="74"/>
      <c r="BS16" s="74"/>
      <c r="BT16" s="74"/>
    </row>
    <row r="17" spans="1:72">
      <c r="A17" s="66" t="str">
        <f t="shared" si="1"/>
        <v>L21</v>
      </c>
      <c r="B17" s="1" t="s">
        <v>16</v>
      </c>
      <c r="C17" s="2" t="str">
        <f t="shared" si="0"/>
        <v>L21-L25</v>
      </c>
      <c r="D17" s="2" t="s">
        <v>29</v>
      </c>
      <c r="E17" s="2" t="s">
        <v>4</v>
      </c>
      <c r="F17" s="1">
        <v>2</v>
      </c>
      <c r="G17" s="1">
        <v>1</v>
      </c>
      <c r="H17" s="1">
        <v>48</v>
      </c>
      <c r="I17" s="1">
        <v>25</v>
      </c>
      <c r="J17" s="1">
        <v>4.4000000000000004</v>
      </c>
      <c r="K17" s="1">
        <v>1</v>
      </c>
      <c r="L17" s="1">
        <v>2</v>
      </c>
      <c r="M17" s="1">
        <v>1</v>
      </c>
      <c r="N17" s="1">
        <v>48</v>
      </c>
      <c r="O17" s="1">
        <v>25</v>
      </c>
      <c r="Q17" s="3"/>
      <c r="R17" s="64"/>
      <c r="S17" s="64"/>
      <c r="T17" s="64"/>
      <c r="U17" s="64"/>
      <c r="V17" s="64"/>
      <c r="W17" s="64"/>
      <c r="X17" s="64"/>
      <c r="Y17" s="64"/>
      <c r="Z17" s="65"/>
      <c r="AA17" s="64"/>
      <c r="AB17" s="64"/>
      <c r="AC17" s="64"/>
      <c r="AD17" s="64"/>
      <c r="AE17" s="64"/>
      <c r="AU17" s="87"/>
      <c r="BC17" s="79"/>
      <c r="BE17" s="80"/>
      <c r="BF17" s="3"/>
      <c r="BG17" s="79"/>
      <c r="BM17" s="84"/>
      <c r="BN17" s="74"/>
      <c r="BO17" s="74"/>
      <c r="BP17" s="74"/>
      <c r="BQ17" s="84"/>
      <c r="BR17" s="74"/>
      <c r="BS17" s="74"/>
      <c r="BT17" s="74"/>
    </row>
    <row r="18" spans="1:72">
      <c r="A18" s="66" t="str">
        <f t="shared" si="1"/>
        <v>L25</v>
      </c>
      <c r="B18" s="1" t="s">
        <v>17</v>
      </c>
      <c r="C18" s="2" t="str">
        <f t="shared" si="0"/>
        <v>L25-L30</v>
      </c>
      <c r="D18" s="2" t="s">
        <v>29</v>
      </c>
      <c r="E18" s="2" t="s">
        <v>4</v>
      </c>
      <c r="F18" s="1">
        <v>2</v>
      </c>
      <c r="G18" s="1">
        <v>1</v>
      </c>
      <c r="H18" s="1">
        <v>55</v>
      </c>
      <c r="I18" s="1">
        <v>25</v>
      </c>
      <c r="J18" s="1">
        <v>4.4000000000000004</v>
      </c>
      <c r="K18" s="1">
        <v>1</v>
      </c>
      <c r="L18" s="1">
        <v>2</v>
      </c>
      <c r="M18" s="1">
        <v>1</v>
      </c>
      <c r="N18" s="1">
        <v>55</v>
      </c>
      <c r="O18" s="1">
        <v>25</v>
      </c>
      <c r="Q18" s="3"/>
      <c r="R18" s="64"/>
      <c r="S18" s="64"/>
      <c r="T18" s="64"/>
      <c r="U18" s="64"/>
      <c r="V18" s="64"/>
      <c r="W18" s="64"/>
      <c r="X18" s="64"/>
      <c r="Y18" s="64"/>
      <c r="Z18" s="65"/>
      <c r="AA18" s="64"/>
      <c r="AB18" s="64"/>
      <c r="AC18" s="64"/>
      <c r="AD18" s="64"/>
      <c r="AE18" s="64"/>
      <c r="AU18" s="87"/>
      <c r="BC18" s="79"/>
      <c r="BE18" s="80"/>
      <c r="BF18" s="3"/>
      <c r="BG18" s="79"/>
      <c r="BM18" s="84"/>
      <c r="BN18" s="74"/>
      <c r="BO18" s="74"/>
      <c r="BP18" s="74"/>
      <c r="BQ18" s="84"/>
      <c r="BR18" s="74"/>
      <c r="BS18" s="74"/>
      <c r="BT18" s="74"/>
    </row>
    <row r="19" spans="1:72">
      <c r="A19" s="66" t="str">
        <f t="shared" si="1"/>
        <v>L30</v>
      </c>
      <c r="B19" s="1" t="s">
        <v>18</v>
      </c>
      <c r="C19" s="2" t="str">
        <f t="shared" si="0"/>
        <v>L30-L34</v>
      </c>
      <c r="D19" s="2" t="s">
        <v>29</v>
      </c>
      <c r="E19" s="2" t="s">
        <v>4</v>
      </c>
      <c r="F19" s="1">
        <v>2</v>
      </c>
      <c r="G19" s="1">
        <v>1</v>
      </c>
      <c r="H19" s="1">
        <v>57</v>
      </c>
      <c r="I19" s="1">
        <v>25</v>
      </c>
      <c r="J19" s="1">
        <v>4.4000000000000004</v>
      </c>
      <c r="K19" s="1">
        <v>1</v>
      </c>
      <c r="L19" s="1">
        <v>2</v>
      </c>
      <c r="M19" s="1">
        <v>1</v>
      </c>
      <c r="N19" s="1">
        <v>57</v>
      </c>
      <c r="O19" s="1">
        <v>25</v>
      </c>
      <c r="Q19" s="3"/>
      <c r="R19" s="64"/>
      <c r="S19" s="64"/>
      <c r="T19" s="64"/>
      <c r="U19" s="64"/>
      <c r="V19" s="64"/>
      <c r="W19" s="64"/>
      <c r="X19" s="64"/>
      <c r="Y19" s="64"/>
      <c r="Z19" s="65"/>
      <c r="AA19" s="64"/>
      <c r="AB19" s="64"/>
      <c r="AC19" s="64"/>
      <c r="AD19" s="64"/>
      <c r="AE19" s="64"/>
      <c r="AU19" s="87"/>
      <c r="BC19" s="79"/>
      <c r="BE19" s="80"/>
      <c r="BG19" s="79"/>
      <c r="BI19" s="85"/>
      <c r="BM19" s="84"/>
      <c r="BN19" s="74"/>
      <c r="BO19" s="74"/>
      <c r="BP19" s="74"/>
      <c r="BQ19" s="84"/>
      <c r="BR19" s="74"/>
      <c r="BS19" s="74"/>
      <c r="BT19" s="74"/>
    </row>
    <row r="20" spans="1:72">
      <c r="A20" s="66" t="str">
        <f t="shared" si="1"/>
        <v>L34</v>
      </c>
      <c r="B20" s="1" t="s">
        <v>19</v>
      </c>
      <c r="C20" s="2" t="str">
        <f t="shared" si="0"/>
        <v>L34-L38</v>
      </c>
      <c r="D20" s="2" t="s">
        <v>29</v>
      </c>
      <c r="E20" s="2" t="s">
        <v>4</v>
      </c>
      <c r="F20" s="1">
        <v>2</v>
      </c>
      <c r="G20" s="1">
        <v>1</v>
      </c>
      <c r="H20" s="1">
        <v>48</v>
      </c>
      <c r="I20" s="1">
        <v>25</v>
      </c>
      <c r="J20" s="1">
        <v>4.4000000000000004</v>
      </c>
      <c r="K20" s="1">
        <v>1</v>
      </c>
      <c r="L20" s="1">
        <v>2</v>
      </c>
      <c r="M20" s="1">
        <v>1</v>
      </c>
      <c r="N20" s="1">
        <v>48</v>
      </c>
      <c r="O20" s="1">
        <v>25</v>
      </c>
      <c r="Q20" s="3"/>
      <c r="R20" s="64"/>
      <c r="S20" s="64"/>
      <c r="T20" s="64"/>
      <c r="U20" s="64"/>
      <c r="V20" s="64"/>
      <c r="W20" s="64"/>
      <c r="X20" s="64"/>
      <c r="Y20" s="64"/>
      <c r="Z20" s="65"/>
      <c r="AA20" s="64"/>
      <c r="AB20" s="64"/>
      <c r="AC20" s="64"/>
      <c r="AD20" s="64"/>
      <c r="AE20" s="64"/>
      <c r="AU20" s="87"/>
      <c r="BC20" s="79"/>
      <c r="BE20" s="80"/>
      <c r="BG20" s="79"/>
      <c r="BI20" s="85"/>
      <c r="BM20" s="84"/>
      <c r="BN20" s="74"/>
      <c r="BO20" s="74"/>
      <c r="BP20" s="74"/>
      <c r="BQ20" s="84"/>
      <c r="BR20" s="74"/>
      <c r="BS20" s="74"/>
      <c r="BT20" s="74"/>
    </row>
    <row r="21" spans="1:72">
      <c r="A21" s="66" t="str">
        <f t="shared" si="1"/>
        <v>L38</v>
      </c>
      <c r="B21" s="1" t="s">
        <v>20</v>
      </c>
      <c r="C21" s="2" t="str">
        <f t="shared" si="0"/>
        <v>L38-L42</v>
      </c>
      <c r="D21" s="2" t="s">
        <v>29</v>
      </c>
      <c r="E21" s="2" t="s">
        <v>4</v>
      </c>
      <c r="F21" s="1">
        <v>2</v>
      </c>
      <c r="G21" s="1">
        <v>1</v>
      </c>
      <c r="H21" s="73">
        <v>45</v>
      </c>
      <c r="I21" s="73">
        <v>25</v>
      </c>
      <c r="J21" s="3">
        <v>4.4000000000000004</v>
      </c>
      <c r="K21" s="3">
        <v>1</v>
      </c>
      <c r="L21" s="3">
        <v>2</v>
      </c>
      <c r="M21" s="3">
        <v>1</v>
      </c>
      <c r="N21" s="4">
        <v>45</v>
      </c>
      <c r="O21" s="4">
        <v>25</v>
      </c>
      <c r="Q21" s="3"/>
      <c r="R21" s="64"/>
      <c r="S21" s="64"/>
      <c r="T21" s="64"/>
      <c r="U21" s="64"/>
      <c r="V21" s="64"/>
      <c r="W21" s="64"/>
      <c r="X21" s="64"/>
      <c r="Y21" s="64"/>
      <c r="Z21" s="65"/>
      <c r="AA21" s="64"/>
      <c r="AB21" s="64"/>
      <c r="AC21" s="64"/>
      <c r="AD21" s="64"/>
      <c r="AE21" s="64"/>
      <c r="AU21" s="87"/>
      <c r="BC21" s="79"/>
      <c r="BE21" s="80"/>
      <c r="BG21" s="79"/>
      <c r="BI21" s="85"/>
      <c r="BM21" s="84"/>
      <c r="BN21" s="74"/>
      <c r="BO21" s="74"/>
      <c r="BP21" s="74"/>
      <c r="BQ21" s="84"/>
      <c r="BR21" s="74"/>
      <c r="BS21" s="74"/>
      <c r="BT21" s="74"/>
    </row>
    <row r="22" spans="1:72">
      <c r="A22" s="66" t="str">
        <f t="shared" si="1"/>
        <v>L42</v>
      </c>
      <c r="B22" s="1" t="s">
        <v>21</v>
      </c>
      <c r="C22" s="2" t="str">
        <f t="shared" si="0"/>
        <v>L42-L46</v>
      </c>
      <c r="D22" s="2" t="s">
        <v>29</v>
      </c>
      <c r="E22" s="2" t="s">
        <v>4</v>
      </c>
      <c r="F22" s="1">
        <v>2</v>
      </c>
      <c r="G22" s="1">
        <v>1</v>
      </c>
      <c r="H22" s="1">
        <v>41</v>
      </c>
      <c r="I22" s="1">
        <v>25</v>
      </c>
      <c r="J22" s="1">
        <v>4.4000000000000004</v>
      </c>
      <c r="K22" s="1">
        <v>1</v>
      </c>
      <c r="L22" s="1">
        <v>2</v>
      </c>
      <c r="M22" s="1">
        <v>1</v>
      </c>
      <c r="N22" s="1">
        <v>41</v>
      </c>
      <c r="O22" s="1">
        <v>25</v>
      </c>
      <c r="Q22" s="3"/>
      <c r="R22" s="64"/>
      <c r="S22" s="64"/>
      <c r="T22" s="64"/>
      <c r="U22" s="64"/>
      <c r="V22" s="64"/>
      <c r="W22" s="64"/>
      <c r="X22" s="64"/>
      <c r="Y22" s="64"/>
      <c r="Z22" s="65"/>
      <c r="AA22" s="64"/>
      <c r="AB22" s="64"/>
      <c r="AC22" s="64"/>
      <c r="AD22" s="64"/>
      <c r="AE22" s="64"/>
      <c r="AU22" s="87"/>
      <c r="BC22" s="79"/>
      <c r="BE22" s="80"/>
      <c r="BG22" s="79"/>
      <c r="BI22" s="85"/>
      <c r="BM22" s="84"/>
      <c r="BN22" s="74"/>
      <c r="BO22" s="74"/>
      <c r="BP22" s="74"/>
      <c r="BQ22" s="84"/>
      <c r="BR22" s="74"/>
      <c r="BS22" s="74"/>
      <c r="BT22" s="74"/>
    </row>
    <row r="23" spans="1:72">
      <c r="A23" s="66" t="str">
        <f t="shared" si="1"/>
        <v>L46</v>
      </c>
      <c r="B23" s="1" t="s">
        <v>22</v>
      </c>
      <c r="C23" s="2" t="str">
        <f t="shared" si="0"/>
        <v>L46-L50</v>
      </c>
      <c r="D23" s="2" t="s">
        <v>29</v>
      </c>
      <c r="E23" s="2" t="s">
        <v>4</v>
      </c>
      <c r="F23" s="1">
        <v>2</v>
      </c>
      <c r="G23" s="1">
        <v>1</v>
      </c>
      <c r="H23" s="1">
        <v>43</v>
      </c>
      <c r="I23" s="1">
        <v>25</v>
      </c>
      <c r="J23" s="1">
        <v>4.4000000000000004</v>
      </c>
      <c r="K23" s="1">
        <v>1</v>
      </c>
      <c r="L23" s="1">
        <v>2</v>
      </c>
      <c r="M23" s="1">
        <v>1</v>
      </c>
      <c r="N23" s="1">
        <v>43</v>
      </c>
      <c r="O23" s="1">
        <v>25</v>
      </c>
      <c r="Q23" s="3"/>
      <c r="R23" s="64"/>
      <c r="S23" s="64"/>
      <c r="T23" s="64"/>
      <c r="U23" s="64"/>
      <c r="V23" s="64"/>
      <c r="W23" s="64"/>
      <c r="X23" s="64"/>
      <c r="Y23" s="64"/>
      <c r="Z23" s="65"/>
      <c r="AA23" s="64"/>
      <c r="AB23" s="64"/>
      <c r="AC23" s="64"/>
      <c r="AD23" s="64"/>
      <c r="AE23" s="64"/>
      <c r="AU23" s="87"/>
      <c r="BC23" s="79"/>
      <c r="BE23" s="80"/>
      <c r="BG23" s="79"/>
      <c r="BI23" s="85"/>
      <c r="BM23" s="84"/>
      <c r="BN23" s="74"/>
      <c r="BO23" s="74"/>
      <c r="BP23" s="74"/>
      <c r="BQ23" s="84"/>
      <c r="BR23" s="74"/>
      <c r="BS23" s="74"/>
      <c r="BT23" s="74"/>
    </row>
    <row r="24" spans="1:72">
      <c r="A24" s="66" t="str">
        <f t="shared" si="1"/>
        <v>L50</v>
      </c>
      <c r="B24" s="1" t="s">
        <v>149</v>
      </c>
      <c r="C24" s="2" t="str">
        <f t="shared" si="0"/>
        <v>L50-MCRM</v>
      </c>
      <c r="D24" s="2" t="s">
        <v>29</v>
      </c>
      <c r="E24" s="2" t="s">
        <v>4</v>
      </c>
      <c r="F24" s="1">
        <v>2</v>
      </c>
      <c r="G24" s="1">
        <v>1</v>
      </c>
      <c r="H24" s="1">
        <v>41</v>
      </c>
      <c r="I24" s="1">
        <v>25</v>
      </c>
      <c r="J24" s="1">
        <v>4.4000000000000004</v>
      </c>
      <c r="K24" s="1">
        <v>1</v>
      </c>
      <c r="L24" s="1">
        <v>2</v>
      </c>
      <c r="M24" s="1">
        <v>1</v>
      </c>
      <c r="N24" s="1">
        <v>41</v>
      </c>
      <c r="O24" s="1">
        <v>25</v>
      </c>
      <c r="Q24" s="3"/>
      <c r="R24" s="64"/>
      <c r="S24" s="64"/>
      <c r="T24" s="64"/>
      <c r="U24" s="64"/>
      <c r="V24" s="64"/>
      <c r="W24" s="64"/>
      <c r="X24" s="64"/>
      <c r="Y24" s="64"/>
      <c r="Z24" s="65"/>
      <c r="AA24" s="64"/>
      <c r="AB24" s="64"/>
      <c r="AC24" s="64"/>
      <c r="AD24" s="64"/>
      <c r="AE24" s="64"/>
      <c r="AU24" s="87"/>
      <c r="BC24" s="79"/>
      <c r="BE24" s="80"/>
      <c r="BG24" s="79"/>
      <c r="BI24" s="85"/>
      <c r="BM24" s="84"/>
      <c r="BN24" s="74"/>
      <c r="BO24" s="74"/>
      <c r="BP24" s="74"/>
      <c r="BQ24" s="84"/>
      <c r="BR24" s="74"/>
      <c r="BS24" s="74"/>
      <c r="BT24" s="74"/>
    </row>
    <row r="25" spans="1:72">
      <c r="A25" s="66" t="s">
        <v>7</v>
      </c>
      <c r="B25" s="1" t="s">
        <v>8</v>
      </c>
      <c r="C25" s="2" t="str">
        <f>CONCATENATE(A25,"-",B25)</f>
        <v>FND-B1</v>
      </c>
      <c r="D25" s="2" t="s">
        <v>30</v>
      </c>
      <c r="E25" s="2" t="s">
        <v>25</v>
      </c>
      <c r="F25" s="1" t="s">
        <v>26</v>
      </c>
      <c r="G25" s="1">
        <v>1</v>
      </c>
      <c r="H25" s="1">
        <v>230</v>
      </c>
      <c r="I25" s="1">
        <v>32</v>
      </c>
      <c r="J25" s="1">
        <v>8.4</v>
      </c>
      <c r="K25" s="1">
        <v>1</v>
      </c>
      <c r="Q25" s="3"/>
      <c r="R25" s="64"/>
      <c r="S25" s="64"/>
      <c r="T25" s="64"/>
      <c r="U25" s="64"/>
      <c r="V25" s="64"/>
      <c r="W25" s="64"/>
      <c r="X25" s="64"/>
      <c r="Y25" s="64"/>
      <c r="Z25" s="65"/>
      <c r="AA25" s="64"/>
      <c r="AB25" s="64"/>
      <c r="AC25" s="64"/>
      <c r="AD25" s="64"/>
      <c r="AE25" s="64"/>
      <c r="BC25" s="79"/>
      <c r="BE25" s="81"/>
      <c r="BG25" s="79"/>
      <c r="BI25" s="85"/>
      <c r="BM25" s="84"/>
      <c r="BN25" s="74"/>
      <c r="BO25" s="74"/>
      <c r="BP25" s="74"/>
      <c r="BQ25" s="84"/>
      <c r="BR25" s="74"/>
      <c r="BS25" s="74"/>
      <c r="BT25" s="74"/>
    </row>
    <row r="26" spans="1:72">
      <c r="A26" s="66" t="str">
        <f>B25</f>
        <v>B1</v>
      </c>
      <c r="B26" s="1" t="s">
        <v>9</v>
      </c>
      <c r="C26" s="2" t="str">
        <f t="shared" ref="C26:C40" si="2">CONCATENATE(A26,"-",B26)</f>
        <v>B1-LG</v>
      </c>
      <c r="D26" s="2" t="s">
        <v>30</v>
      </c>
      <c r="E26" s="2" t="s">
        <v>25</v>
      </c>
      <c r="F26" s="1" t="s">
        <v>26</v>
      </c>
      <c r="G26" s="1">
        <v>1</v>
      </c>
      <c r="H26" s="1">
        <v>233</v>
      </c>
      <c r="I26" s="1">
        <v>32</v>
      </c>
      <c r="J26" s="1">
        <v>8.4</v>
      </c>
      <c r="K26" s="1">
        <v>1</v>
      </c>
      <c r="Q26" s="3"/>
      <c r="R26" s="64"/>
      <c r="S26" s="64"/>
      <c r="T26" s="64"/>
      <c r="U26" s="64"/>
      <c r="V26" s="64"/>
      <c r="W26" s="64"/>
      <c r="X26" s="64"/>
      <c r="Y26" s="64"/>
      <c r="Z26" s="65"/>
      <c r="AA26" s="64"/>
      <c r="AB26" s="64"/>
      <c r="AC26" s="64"/>
      <c r="AD26" s="64"/>
      <c r="AE26" s="64"/>
      <c r="BC26" s="79"/>
      <c r="BE26" s="80"/>
      <c r="BG26" s="79"/>
      <c r="BI26" s="85"/>
      <c r="BM26" s="84"/>
      <c r="BN26" s="74"/>
      <c r="BO26" s="74"/>
      <c r="BP26" s="74"/>
      <c r="BQ26" s="84"/>
      <c r="BR26" s="74"/>
      <c r="BS26" s="74"/>
      <c r="BT26" s="74"/>
    </row>
    <row r="27" spans="1:72">
      <c r="A27" s="66" t="str">
        <f t="shared" ref="A27:A40" si="3">B26</f>
        <v>LG</v>
      </c>
      <c r="B27" s="1" t="s">
        <v>10</v>
      </c>
      <c r="C27" s="2" t="str">
        <f t="shared" si="2"/>
        <v>LG-L1</v>
      </c>
      <c r="D27" s="2" t="s">
        <v>30</v>
      </c>
      <c r="E27" s="2" t="s">
        <v>25</v>
      </c>
      <c r="F27" s="1" t="s">
        <v>26</v>
      </c>
      <c r="G27" s="1">
        <v>1</v>
      </c>
      <c r="H27" s="1">
        <v>225</v>
      </c>
      <c r="I27" s="1">
        <v>32</v>
      </c>
      <c r="J27" s="1">
        <v>8.4</v>
      </c>
      <c r="K27" s="1">
        <v>1</v>
      </c>
      <c r="Q27" s="3"/>
      <c r="R27" s="64"/>
      <c r="S27" s="64"/>
      <c r="T27" s="64"/>
      <c r="U27" s="64"/>
      <c r="V27" s="64"/>
      <c r="W27" s="64"/>
      <c r="X27" s="64"/>
      <c r="Y27" s="64"/>
      <c r="Z27" s="65"/>
      <c r="AA27" s="64"/>
      <c r="AB27" s="64"/>
      <c r="AC27" s="64"/>
      <c r="AD27" s="64"/>
      <c r="AE27" s="64"/>
      <c r="BC27" s="79"/>
      <c r="BE27" s="80"/>
      <c r="BG27" s="79"/>
      <c r="BI27" s="85"/>
      <c r="BM27" s="84"/>
      <c r="BN27" s="74"/>
      <c r="BO27" s="74"/>
      <c r="BP27" s="74"/>
      <c r="BQ27" s="84"/>
      <c r="BR27" s="74"/>
      <c r="BS27" s="74"/>
      <c r="BT27" s="74"/>
    </row>
    <row r="28" spans="1:72">
      <c r="A28" s="66" t="str">
        <f t="shared" si="3"/>
        <v>L1</v>
      </c>
      <c r="B28" s="1" t="s">
        <v>11</v>
      </c>
      <c r="C28" s="2" t="str">
        <f t="shared" si="2"/>
        <v>L1-L5</v>
      </c>
      <c r="D28" s="2" t="s">
        <v>30</v>
      </c>
      <c r="E28" s="2" t="s">
        <v>25</v>
      </c>
      <c r="F28" s="1" t="s">
        <v>26</v>
      </c>
      <c r="G28" s="1">
        <v>1</v>
      </c>
      <c r="H28" s="1">
        <v>230</v>
      </c>
      <c r="I28" s="1">
        <v>32</v>
      </c>
      <c r="J28" s="1">
        <v>8.4</v>
      </c>
      <c r="K28" s="1">
        <v>1</v>
      </c>
      <c r="Q28" s="3"/>
      <c r="R28" s="64"/>
      <c r="S28" s="64"/>
      <c r="T28" s="64"/>
      <c r="U28" s="64"/>
      <c r="V28" s="64"/>
      <c r="W28" s="64"/>
      <c r="X28" s="64"/>
      <c r="Y28" s="64"/>
      <c r="Z28" s="65"/>
      <c r="AA28" s="64"/>
      <c r="AB28" s="64"/>
      <c r="AC28" s="64"/>
      <c r="AD28" s="64"/>
      <c r="AE28" s="64"/>
      <c r="BC28" s="79"/>
      <c r="BE28" s="80"/>
      <c r="BG28" s="79"/>
      <c r="BM28" s="84"/>
      <c r="BN28" s="74"/>
      <c r="BO28" s="74"/>
      <c r="BP28" s="74"/>
      <c r="BQ28" s="84"/>
      <c r="BR28" s="74"/>
      <c r="BS28" s="74"/>
      <c r="BT28" s="74"/>
    </row>
    <row r="29" spans="1:72">
      <c r="A29" s="66" t="str">
        <f t="shared" si="3"/>
        <v>L5</v>
      </c>
      <c r="B29" s="1" t="s">
        <v>12</v>
      </c>
      <c r="C29" s="2" t="str">
        <f t="shared" si="2"/>
        <v>L5-L9</v>
      </c>
      <c r="D29" s="2" t="s">
        <v>30</v>
      </c>
      <c r="E29" s="2" t="s">
        <v>25</v>
      </c>
      <c r="F29" s="1" t="s">
        <v>26</v>
      </c>
      <c r="G29" s="1">
        <v>1</v>
      </c>
      <c r="H29" s="1">
        <v>195</v>
      </c>
      <c r="I29" s="1">
        <v>32</v>
      </c>
      <c r="J29" s="1">
        <v>8.4</v>
      </c>
      <c r="K29" s="1">
        <v>1</v>
      </c>
      <c r="Q29" s="3"/>
      <c r="R29" s="64"/>
      <c r="S29" s="64"/>
      <c r="T29" s="64"/>
      <c r="U29" s="64"/>
      <c r="V29" s="64"/>
      <c r="W29" s="64"/>
      <c r="X29" s="64"/>
      <c r="Y29" s="64"/>
      <c r="Z29" s="65"/>
      <c r="AA29" s="64"/>
      <c r="AB29" s="64"/>
      <c r="AC29" s="64"/>
      <c r="AD29" s="64"/>
      <c r="AE29" s="64"/>
      <c r="BC29" s="79"/>
      <c r="BE29" s="80"/>
      <c r="BG29" s="79"/>
      <c r="BM29" s="84"/>
      <c r="BN29" s="74"/>
      <c r="BO29" s="74"/>
      <c r="BP29" s="74"/>
      <c r="BQ29" s="84"/>
      <c r="BR29" s="74"/>
      <c r="BS29" s="74"/>
      <c r="BT29" s="74"/>
    </row>
    <row r="30" spans="1:72">
      <c r="A30" s="66" t="str">
        <f t="shared" si="3"/>
        <v>L9</v>
      </c>
      <c r="B30" s="1" t="s">
        <v>13</v>
      </c>
      <c r="C30" s="2" t="str">
        <f t="shared" si="2"/>
        <v>L9-L13</v>
      </c>
      <c r="D30" s="2" t="s">
        <v>30</v>
      </c>
      <c r="E30" s="2" t="s">
        <v>25</v>
      </c>
      <c r="F30" s="1" t="s">
        <v>26</v>
      </c>
      <c r="G30" s="1">
        <v>1</v>
      </c>
      <c r="H30" s="1">
        <v>200</v>
      </c>
      <c r="I30" s="1">
        <v>28</v>
      </c>
      <c r="J30" s="1">
        <v>8.4</v>
      </c>
      <c r="K30" s="1">
        <v>1</v>
      </c>
      <c r="Q30" s="3"/>
      <c r="R30" s="64"/>
      <c r="S30" s="64"/>
      <c r="T30" s="64"/>
      <c r="U30" s="64"/>
      <c r="V30" s="64"/>
      <c r="W30" s="64"/>
      <c r="X30" s="64"/>
      <c r="Y30" s="64"/>
      <c r="Z30" s="65"/>
      <c r="AA30" s="64"/>
      <c r="AB30" s="64"/>
      <c r="AC30" s="64"/>
      <c r="AD30" s="64"/>
      <c r="AE30" s="64"/>
      <c r="BC30" s="79"/>
      <c r="BE30" s="80"/>
      <c r="BG30" s="79"/>
      <c r="BM30" s="84"/>
      <c r="BN30" s="74"/>
      <c r="BO30" s="74"/>
      <c r="BP30" s="74"/>
      <c r="BQ30" s="84"/>
      <c r="BR30" s="74"/>
      <c r="BS30" s="74"/>
      <c r="BT30" s="74"/>
    </row>
    <row r="31" spans="1:72">
      <c r="A31" s="66" t="str">
        <f t="shared" si="3"/>
        <v>L13</v>
      </c>
      <c r="B31" s="1" t="s">
        <v>14</v>
      </c>
      <c r="C31" s="2" t="str">
        <f t="shared" si="2"/>
        <v>L13-L17</v>
      </c>
      <c r="D31" s="2" t="s">
        <v>30</v>
      </c>
      <c r="E31" s="2" t="s">
        <v>25</v>
      </c>
      <c r="F31" s="1">
        <v>3.25</v>
      </c>
      <c r="G31" s="1">
        <v>1</v>
      </c>
      <c r="H31" s="1">
        <v>75</v>
      </c>
      <c r="I31" s="1">
        <v>28</v>
      </c>
      <c r="J31" s="1">
        <v>1.9</v>
      </c>
      <c r="K31" s="1">
        <v>1</v>
      </c>
      <c r="L31" s="1">
        <v>3.25</v>
      </c>
      <c r="M31" s="1">
        <v>1</v>
      </c>
      <c r="N31" s="1">
        <v>75</v>
      </c>
      <c r="O31" s="1">
        <v>28</v>
      </c>
      <c r="Q31" s="3"/>
      <c r="R31" s="64"/>
      <c r="S31" s="64"/>
      <c r="T31" s="64"/>
      <c r="U31" s="64"/>
      <c r="V31" s="64"/>
      <c r="W31" s="64"/>
      <c r="X31" s="64"/>
      <c r="Y31" s="64"/>
      <c r="Z31" s="65"/>
      <c r="AA31" s="64"/>
      <c r="AB31" s="64"/>
      <c r="AC31" s="64"/>
      <c r="AD31" s="64"/>
      <c r="AE31" s="64"/>
      <c r="BC31" s="79"/>
      <c r="BE31" s="80"/>
      <c r="BG31" s="79"/>
      <c r="BM31" s="84"/>
      <c r="BN31" s="74"/>
      <c r="BO31" s="74"/>
      <c r="BP31" s="74"/>
      <c r="BQ31" s="84"/>
      <c r="BR31" s="74"/>
      <c r="BS31" s="74"/>
      <c r="BT31" s="74"/>
    </row>
    <row r="32" spans="1:72">
      <c r="A32" s="66" t="str">
        <f t="shared" si="3"/>
        <v>L17</v>
      </c>
      <c r="B32" s="1" t="s">
        <v>15</v>
      </c>
      <c r="C32" s="2" t="str">
        <f t="shared" si="2"/>
        <v>L17-L21</v>
      </c>
      <c r="D32" s="2" t="s">
        <v>30</v>
      </c>
      <c r="E32" s="2" t="s">
        <v>25</v>
      </c>
      <c r="F32" s="1">
        <v>2.2000000000000002</v>
      </c>
      <c r="G32" s="1">
        <v>1</v>
      </c>
      <c r="H32" s="1">
        <v>61</v>
      </c>
      <c r="I32" s="1">
        <v>25</v>
      </c>
      <c r="J32" s="1">
        <v>4</v>
      </c>
      <c r="K32" s="1">
        <v>1</v>
      </c>
      <c r="L32" s="1">
        <v>2.2000000000000002</v>
      </c>
      <c r="M32" s="1">
        <v>1</v>
      </c>
      <c r="N32" s="1">
        <v>61</v>
      </c>
      <c r="O32" s="1">
        <v>25</v>
      </c>
      <c r="Q32" s="3"/>
      <c r="R32" s="64"/>
      <c r="S32" s="64"/>
      <c r="T32" s="64"/>
      <c r="U32" s="64"/>
      <c r="V32" s="64"/>
      <c r="W32" s="64"/>
      <c r="X32" s="64"/>
      <c r="Y32" s="64"/>
      <c r="Z32" s="65"/>
      <c r="AA32" s="64"/>
      <c r="AB32" s="64"/>
      <c r="AC32" s="64"/>
      <c r="AD32" s="64"/>
      <c r="AE32" s="64"/>
      <c r="AU32" s="87"/>
      <c r="BC32" s="79"/>
      <c r="BE32" s="80"/>
      <c r="BG32" s="79"/>
      <c r="BM32" s="84"/>
      <c r="BN32" s="74"/>
      <c r="BO32" s="74"/>
      <c r="BP32" s="74"/>
      <c r="BQ32" s="84"/>
      <c r="BR32" s="74"/>
      <c r="BS32" s="74"/>
      <c r="BT32" s="74"/>
    </row>
    <row r="33" spans="1:72">
      <c r="A33" s="66" t="str">
        <f t="shared" si="3"/>
        <v>L21</v>
      </c>
      <c r="B33" s="1" t="s">
        <v>16</v>
      </c>
      <c r="C33" s="2" t="str">
        <f t="shared" si="2"/>
        <v>L21-L25</v>
      </c>
      <c r="D33" s="2" t="s">
        <v>30</v>
      </c>
      <c r="E33" s="2" t="s">
        <v>25</v>
      </c>
      <c r="F33" s="1">
        <v>2</v>
      </c>
      <c r="G33" s="1">
        <v>1</v>
      </c>
      <c r="H33" s="1">
        <v>42</v>
      </c>
      <c r="I33" s="1">
        <v>25</v>
      </c>
      <c r="J33" s="1">
        <v>4.4000000000000004</v>
      </c>
      <c r="K33" s="1">
        <v>1</v>
      </c>
      <c r="L33" s="1">
        <v>2</v>
      </c>
      <c r="M33" s="1">
        <v>1</v>
      </c>
      <c r="N33" s="1">
        <v>42</v>
      </c>
      <c r="O33" s="1">
        <v>25</v>
      </c>
      <c r="Q33" s="3"/>
      <c r="R33" s="64"/>
      <c r="S33" s="64"/>
      <c r="T33" s="64"/>
      <c r="U33" s="64"/>
      <c r="V33" s="64"/>
      <c r="W33" s="64"/>
      <c r="X33" s="64"/>
      <c r="Y33" s="64"/>
      <c r="Z33" s="65"/>
      <c r="AA33" s="64"/>
      <c r="AB33" s="64"/>
      <c r="AC33" s="64"/>
      <c r="AD33" s="64"/>
      <c r="AE33" s="64"/>
      <c r="AU33" s="87"/>
      <c r="BC33" s="79"/>
      <c r="BE33" s="80"/>
      <c r="BG33" s="79"/>
      <c r="BM33" s="84"/>
      <c r="BN33" s="74"/>
      <c r="BO33" s="74"/>
      <c r="BP33" s="74"/>
      <c r="BQ33" s="84"/>
      <c r="BR33" s="74"/>
      <c r="BS33" s="74"/>
      <c r="BT33" s="74"/>
    </row>
    <row r="34" spans="1:72">
      <c r="A34" s="66" t="str">
        <f t="shared" si="3"/>
        <v>L25</v>
      </c>
      <c r="B34" s="1" t="s">
        <v>17</v>
      </c>
      <c r="C34" s="2" t="str">
        <f t="shared" si="2"/>
        <v>L25-L30</v>
      </c>
      <c r="D34" s="2" t="s">
        <v>30</v>
      </c>
      <c r="E34" s="2" t="s">
        <v>25</v>
      </c>
      <c r="F34" s="1">
        <v>2</v>
      </c>
      <c r="G34" s="1">
        <v>1</v>
      </c>
      <c r="H34" s="1">
        <v>49</v>
      </c>
      <c r="I34" s="1">
        <v>25</v>
      </c>
      <c r="J34" s="1">
        <v>4.4000000000000004</v>
      </c>
      <c r="K34" s="1">
        <v>1</v>
      </c>
      <c r="L34" s="1">
        <v>2</v>
      </c>
      <c r="M34" s="1">
        <v>1</v>
      </c>
      <c r="N34" s="1">
        <v>49</v>
      </c>
      <c r="O34" s="1">
        <v>25</v>
      </c>
      <c r="Q34" s="3"/>
      <c r="R34" s="64"/>
      <c r="S34" s="64"/>
      <c r="T34" s="64"/>
      <c r="U34" s="64"/>
      <c r="V34" s="64"/>
      <c r="W34" s="64"/>
      <c r="X34" s="64"/>
      <c r="Y34" s="64"/>
      <c r="Z34" s="65"/>
      <c r="AA34" s="64"/>
      <c r="AB34" s="64"/>
      <c r="AC34" s="64"/>
      <c r="AD34" s="64"/>
      <c r="AE34" s="64"/>
      <c r="AU34" s="87"/>
      <c r="BC34" s="79"/>
      <c r="BE34" s="80"/>
      <c r="BG34" s="79"/>
      <c r="BI34" s="3"/>
      <c r="BM34" s="84"/>
      <c r="BN34" s="74"/>
      <c r="BO34" s="74"/>
      <c r="BP34" s="74"/>
      <c r="BQ34" s="84"/>
      <c r="BR34" s="74"/>
      <c r="BS34" s="74"/>
      <c r="BT34" s="74"/>
    </row>
    <row r="35" spans="1:72">
      <c r="A35" s="66" t="str">
        <f t="shared" si="3"/>
        <v>L30</v>
      </c>
      <c r="B35" s="1" t="s">
        <v>18</v>
      </c>
      <c r="C35" s="2" t="str">
        <f t="shared" si="2"/>
        <v>L30-L34</v>
      </c>
      <c r="D35" s="2" t="s">
        <v>30</v>
      </c>
      <c r="E35" s="2" t="s">
        <v>25</v>
      </c>
      <c r="F35" s="1">
        <v>2</v>
      </c>
      <c r="G35" s="1">
        <v>1</v>
      </c>
      <c r="H35" s="1">
        <v>53</v>
      </c>
      <c r="I35" s="1">
        <v>25</v>
      </c>
      <c r="J35" s="1">
        <v>4.4000000000000004</v>
      </c>
      <c r="K35" s="1">
        <v>1</v>
      </c>
      <c r="L35" s="1">
        <v>2</v>
      </c>
      <c r="M35" s="1">
        <v>1</v>
      </c>
      <c r="N35" s="1">
        <v>53</v>
      </c>
      <c r="O35" s="1">
        <v>25</v>
      </c>
      <c r="Q35" s="3"/>
      <c r="R35" s="64"/>
      <c r="S35" s="64"/>
      <c r="T35" s="64"/>
      <c r="U35" s="64"/>
      <c r="V35" s="64"/>
      <c r="W35" s="64"/>
      <c r="X35" s="64"/>
      <c r="Y35" s="64"/>
      <c r="Z35" s="65"/>
      <c r="AA35" s="64"/>
      <c r="AB35" s="64"/>
      <c r="AC35" s="64"/>
      <c r="AD35" s="64"/>
      <c r="AE35" s="64"/>
      <c r="AU35" s="87"/>
      <c r="BC35" s="79"/>
      <c r="BE35" s="80"/>
      <c r="BG35" s="79"/>
      <c r="BI35" s="3"/>
      <c r="BM35" s="84"/>
      <c r="BN35" s="74"/>
      <c r="BO35" s="74"/>
      <c r="BP35" s="74"/>
      <c r="BQ35" s="84"/>
      <c r="BR35" s="74"/>
      <c r="BS35" s="74"/>
      <c r="BT35" s="74"/>
    </row>
    <row r="36" spans="1:72">
      <c r="A36" s="66" t="str">
        <f t="shared" si="3"/>
        <v>L34</v>
      </c>
      <c r="B36" s="1" t="s">
        <v>19</v>
      </c>
      <c r="C36" s="2" t="str">
        <f t="shared" si="2"/>
        <v>L34-L38</v>
      </c>
      <c r="D36" s="2" t="s">
        <v>30</v>
      </c>
      <c r="E36" s="2" t="s">
        <v>25</v>
      </c>
      <c r="F36" s="1">
        <v>2</v>
      </c>
      <c r="G36" s="1">
        <v>1</v>
      </c>
      <c r="H36" s="1">
        <v>46</v>
      </c>
      <c r="I36" s="1">
        <v>25</v>
      </c>
      <c r="J36" s="1">
        <v>4.4000000000000004</v>
      </c>
      <c r="K36" s="1">
        <v>1</v>
      </c>
      <c r="L36" s="1">
        <v>2</v>
      </c>
      <c r="M36" s="1">
        <v>1</v>
      </c>
      <c r="N36" s="1">
        <v>46</v>
      </c>
      <c r="O36" s="1">
        <v>25</v>
      </c>
      <c r="Q36" s="3"/>
      <c r="R36" s="64"/>
      <c r="S36" s="64"/>
      <c r="T36" s="64"/>
      <c r="U36" s="64"/>
      <c r="V36" s="64"/>
      <c r="W36" s="64"/>
      <c r="X36" s="64"/>
      <c r="Y36" s="64"/>
      <c r="Z36" s="65"/>
      <c r="AA36" s="64"/>
      <c r="AB36" s="64"/>
      <c r="AC36" s="64"/>
      <c r="AD36" s="64"/>
      <c r="AE36" s="64"/>
      <c r="AU36" s="87"/>
      <c r="BC36" s="79"/>
      <c r="BE36" s="80"/>
      <c r="BG36" s="79"/>
      <c r="BI36" s="3"/>
      <c r="BM36" s="84"/>
      <c r="BN36" s="74"/>
      <c r="BO36" s="74"/>
      <c r="BP36" s="74"/>
      <c r="BQ36" s="84"/>
      <c r="BR36" s="74"/>
      <c r="BS36" s="74"/>
      <c r="BT36" s="74"/>
    </row>
    <row r="37" spans="1:72">
      <c r="A37" s="66" t="str">
        <f t="shared" si="3"/>
        <v>L38</v>
      </c>
      <c r="B37" s="1" t="s">
        <v>20</v>
      </c>
      <c r="C37" s="2" t="str">
        <f t="shared" si="2"/>
        <v>L38-L42</v>
      </c>
      <c r="D37" s="2" t="s">
        <v>30</v>
      </c>
      <c r="E37" s="2" t="s">
        <v>25</v>
      </c>
      <c r="F37" s="1">
        <v>2</v>
      </c>
      <c r="G37" s="1">
        <v>1</v>
      </c>
      <c r="H37" s="4">
        <v>43</v>
      </c>
      <c r="I37" s="4">
        <v>25</v>
      </c>
      <c r="J37" s="3">
        <v>4.4000000000000004</v>
      </c>
      <c r="K37" s="1">
        <v>1</v>
      </c>
      <c r="L37" s="1">
        <v>2</v>
      </c>
      <c r="M37" s="1">
        <v>1</v>
      </c>
      <c r="N37" s="4">
        <v>43</v>
      </c>
      <c r="O37" s="4">
        <v>25</v>
      </c>
      <c r="Q37" s="3"/>
      <c r="R37" s="64"/>
      <c r="S37" s="64"/>
      <c r="T37" s="64"/>
      <c r="U37" s="64"/>
      <c r="V37" s="64"/>
      <c r="W37" s="64"/>
      <c r="X37" s="64"/>
      <c r="Y37" s="64"/>
      <c r="Z37" s="65"/>
      <c r="AA37" s="64"/>
      <c r="AB37" s="64"/>
      <c r="AC37" s="64"/>
      <c r="AD37" s="64"/>
      <c r="AE37" s="64"/>
      <c r="AU37" s="87"/>
      <c r="BC37" s="79"/>
      <c r="BE37" s="80"/>
      <c r="BG37" s="79"/>
      <c r="BI37" s="3"/>
      <c r="BM37" s="84"/>
      <c r="BN37" s="74"/>
      <c r="BO37" s="74"/>
      <c r="BP37" s="74"/>
      <c r="BQ37" s="84"/>
      <c r="BR37" s="74"/>
      <c r="BS37" s="74"/>
      <c r="BT37" s="74"/>
    </row>
    <row r="38" spans="1:72">
      <c r="A38" s="66" t="str">
        <f t="shared" si="3"/>
        <v>L42</v>
      </c>
      <c r="B38" s="1" t="s">
        <v>21</v>
      </c>
      <c r="C38" s="2" t="str">
        <f t="shared" si="2"/>
        <v>L42-L46</v>
      </c>
      <c r="D38" s="2" t="s">
        <v>30</v>
      </c>
      <c r="E38" s="2" t="s">
        <v>25</v>
      </c>
      <c r="F38" s="1">
        <v>2</v>
      </c>
      <c r="G38" s="1">
        <v>1</v>
      </c>
      <c r="H38" s="1">
        <v>41</v>
      </c>
      <c r="I38" s="1">
        <v>25</v>
      </c>
      <c r="J38" s="1">
        <v>4.4000000000000004</v>
      </c>
      <c r="K38" s="1">
        <v>1</v>
      </c>
      <c r="L38" s="1">
        <v>2</v>
      </c>
      <c r="M38" s="1">
        <v>1</v>
      </c>
      <c r="N38" s="1">
        <v>41</v>
      </c>
      <c r="O38" s="1">
        <v>25</v>
      </c>
      <c r="Q38" s="3"/>
      <c r="R38" s="64"/>
      <c r="S38" s="64"/>
      <c r="T38" s="64"/>
      <c r="U38" s="64"/>
      <c r="V38" s="64"/>
      <c r="W38" s="64"/>
      <c r="X38" s="64"/>
      <c r="Y38" s="64"/>
      <c r="Z38" s="65"/>
      <c r="AA38" s="64"/>
      <c r="AB38" s="64"/>
      <c r="AC38" s="64"/>
      <c r="AD38" s="64"/>
      <c r="AE38" s="64"/>
      <c r="AU38" s="87"/>
      <c r="BC38" s="79"/>
      <c r="BE38" s="80"/>
      <c r="BG38" s="79"/>
      <c r="BI38" s="3"/>
      <c r="BM38" s="84"/>
      <c r="BN38" s="74"/>
      <c r="BO38" s="74"/>
      <c r="BP38" s="74"/>
      <c r="BQ38" s="84"/>
      <c r="BR38" s="74"/>
      <c r="BS38" s="74"/>
      <c r="BT38" s="74"/>
    </row>
    <row r="39" spans="1:72">
      <c r="A39" s="66" t="str">
        <f t="shared" si="3"/>
        <v>L46</v>
      </c>
      <c r="B39" s="1" t="s">
        <v>22</v>
      </c>
      <c r="C39" s="2" t="str">
        <f t="shared" si="2"/>
        <v>L46-L50</v>
      </c>
      <c r="D39" s="2" t="s">
        <v>30</v>
      </c>
      <c r="E39" s="2" t="s">
        <v>25</v>
      </c>
      <c r="F39" s="1">
        <v>2</v>
      </c>
      <c r="G39" s="1">
        <v>1</v>
      </c>
      <c r="H39" s="1">
        <v>41</v>
      </c>
      <c r="I39" s="1">
        <v>25</v>
      </c>
      <c r="J39" s="1">
        <v>4.4000000000000004</v>
      </c>
      <c r="K39" s="1">
        <v>1</v>
      </c>
      <c r="L39" s="1">
        <v>2</v>
      </c>
      <c r="M39" s="1">
        <v>1</v>
      </c>
      <c r="N39" s="1">
        <v>41</v>
      </c>
      <c r="O39" s="1">
        <v>25</v>
      </c>
      <c r="Q39" s="3"/>
      <c r="R39" s="64"/>
      <c r="S39" s="64"/>
      <c r="T39" s="64"/>
      <c r="U39" s="64"/>
      <c r="V39" s="64"/>
      <c r="W39" s="64"/>
      <c r="X39" s="64"/>
      <c r="Y39" s="64"/>
      <c r="Z39" s="65"/>
      <c r="AA39" s="64"/>
      <c r="AB39" s="64"/>
      <c r="AC39" s="64"/>
      <c r="AD39" s="64"/>
      <c r="AE39" s="64"/>
      <c r="AU39" s="87"/>
      <c r="BC39" s="79"/>
      <c r="BE39" s="80"/>
      <c r="BG39" s="79"/>
      <c r="BI39" s="3"/>
      <c r="BM39" s="84"/>
      <c r="BN39" s="74"/>
      <c r="BO39" s="74"/>
      <c r="BP39" s="74"/>
      <c r="BQ39" s="84"/>
      <c r="BR39" s="74"/>
      <c r="BS39" s="74"/>
      <c r="BT39" s="74"/>
    </row>
    <row r="40" spans="1:72">
      <c r="A40" s="66" t="str">
        <f t="shared" si="3"/>
        <v>L50</v>
      </c>
      <c r="B40" s="62" t="s">
        <v>149</v>
      </c>
      <c r="C40" s="2" t="str">
        <f t="shared" si="2"/>
        <v>L50-MCRM</v>
      </c>
      <c r="D40" s="2" t="s">
        <v>30</v>
      </c>
      <c r="E40" s="2" t="s">
        <v>25</v>
      </c>
      <c r="F40" s="1">
        <v>2</v>
      </c>
      <c r="G40" s="1">
        <v>1</v>
      </c>
      <c r="H40" s="1">
        <v>41</v>
      </c>
      <c r="I40" s="1">
        <v>25</v>
      </c>
      <c r="J40" s="1">
        <v>4.4000000000000004</v>
      </c>
      <c r="K40" s="1">
        <v>1</v>
      </c>
      <c r="L40" s="1">
        <v>2</v>
      </c>
      <c r="M40" s="1">
        <v>1</v>
      </c>
      <c r="N40" s="1">
        <v>41</v>
      </c>
      <c r="O40" s="1">
        <v>25</v>
      </c>
      <c r="Q40" s="3"/>
      <c r="R40" s="64"/>
      <c r="S40" s="64"/>
      <c r="T40" s="64"/>
      <c r="U40" s="64"/>
      <c r="V40" s="64"/>
      <c r="W40" s="64"/>
      <c r="X40" s="64"/>
      <c r="Y40" s="64"/>
      <c r="Z40" s="65"/>
      <c r="AA40" s="64"/>
      <c r="AB40" s="64"/>
      <c r="AC40" s="64"/>
      <c r="AD40" s="64"/>
      <c r="AE40" s="64"/>
      <c r="AU40" s="87"/>
      <c r="BC40" s="79"/>
      <c r="BE40" s="80"/>
      <c r="BG40" s="79"/>
      <c r="BI40" s="3"/>
      <c r="BM40" s="84"/>
      <c r="BN40" s="74"/>
      <c r="BO40" s="74"/>
      <c r="BP40" s="74"/>
      <c r="BQ40" s="84"/>
      <c r="BR40" s="74"/>
      <c r="BS40" s="74"/>
      <c r="BT40" s="74"/>
    </row>
    <row r="41" spans="1:72">
      <c r="A41" s="66" t="s">
        <v>7</v>
      </c>
      <c r="B41" s="69" t="s">
        <v>8</v>
      </c>
      <c r="C41" s="70" t="str">
        <f>CONCATENATE(A41,"-",B41)</f>
        <v>FND-B1</v>
      </c>
      <c r="D41" s="70" t="s">
        <v>192</v>
      </c>
      <c r="E41" s="2" t="s">
        <v>253</v>
      </c>
      <c r="F41" s="69" t="s">
        <v>26</v>
      </c>
      <c r="G41" s="69">
        <v>1</v>
      </c>
      <c r="H41" s="72">
        <v>393</v>
      </c>
      <c r="I41" s="72">
        <v>36</v>
      </c>
      <c r="J41" s="69">
        <v>8.65</v>
      </c>
      <c r="K41" s="69">
        <v>1</v>
      </c>
      <c r="Q41" s="3"/>
      <c r="Z41" s="65"/>
      <c r="BC41" s="79"/>
      <c r="BE41" s="80"/>
      <c r="BG41" s="79"/>
      <c r="BM41" s="84"/>
      <c r="BN41" s="74"/>
      <c r="BO41" s="74"/>
      <c r="BP41" s="74"/>
      <c r="BQ41" s="84"/>
      <c r="BR41" s="74"/>
      <c r="BS41" s="74"/>
      <c r="BT41" s="74"/>
    </row>
    <row r="42" spans="1:72">
      <c r="A42" s="66" t="str">
        <f>B41</f>
        <v>B1</v>
      </c>
      <c r="B42" s="69" t="s">
        <v>9</v>
      </c>
      <c r="C42" s="70" t="str">
        <f t="shared" ref="C42:C56" si="4">CONCATENATE(A42,"-",B42)</f>
        <v>B1-LG</v>
      </c>
      <c r="D42" s="2" t="s">
        <v>192</v>
      </c>
      <c r="E42" s="70" t="s">
        <v>253</v>
      </c>
      <c r="F42" s="69" t="s">
        <v>26</v>
      </c>
      <c r="G42" s="1">
        <v>1</v>
      </c>
      <c r="H42" s="82">
        <v>370</v>
      </c>
      <c r="I42" s="82">
        <v>36</v>
      </c>
      <c r="J42" s="1">
        <v>8.65</v>
      </c>
      <c r="K42" s="1">
        <v>1</v>
      </c>
      <c r="Q42" s="3"/>
      <c r="Z42" s="65"/>
      <c r="BC42" s="79"/>
      <c r="BE42" s="80"/>
      <c r="BG42" s="79"/>
      <c r="BM42" s="84"/>
      <c r="BN42" s="74"/>
      <c r="BO42" s="74"/>
      <c r="BP42" s="74"/>
      <c r="BQ42" s="84"/>
      <c r="BR42" s="74"/>
      <c r="BS42" s="74"/>
      <c r="BT42" s="74"/>
    </row>
    <row r="43" spans="1:72">
      <c r="A43" s="66" t="str">
        <f t="shared" ref="A43:A56" si="5">B42</f>
        <v>LG</v>
      </c>
      <c r="B43" s="69" t="s">
        <v>10</v>
      </c>
      <c r="C43" s="70" t="str">
        <f t="shared" si="4"/>
        <v>LG-L1</v>
      </c>
      <c r="D43" s="70" t="s">
        <v>192</v>
      </c>
      <c r="E43" s="70" t="s">
        <v>253</v>
      </c>
      <c r="F43" s="69" t="s">
        <v>26</v>
      </c>
      <c r="G43" s="69">
        <v>1</v>
      </c>
      <c r="H43" s="1">
        <v>350</v>
      </c>
      <c r="I43" s="1">
        <v>36</v>
      </c>
      <c r="J43" s="69">
        <v>8.65</v>
      </c>
      <c r="K43" s="69">
        <v>1</v>
      </c>
      <c r="Q43" s="3"/>
      <c r="Z43" s="65"/>
      <c r="BC43" s="79"/>
      <c r="BE43" s="80"/>
      <c r="BG43" s="79"/>
      <c r="BM43" s="84"/>
      <c r="BN43" s="74"/>
      <c r="BO43" s="74"/>
      <c r="BP43" s="74"/>
      <c r="BQ43" s="84"/>
      <c r="BR43" s="74"/>
      <c r="BS43" s="74"/>
      <c r="BT43" s="74"/>
    </row>
    <row r="44" spans="1:72">
      <c r="A44" s="66" t="str">
        <f t="shared" si="5"/>
        <v>L1</v>
      </c>
      <c r="B44" s="69" t="s">
        <v>11</v>
      </c>
      <c r="C44" s="70" t="str">
        <f t="shared" si="4"/>
        <v>L1-L5</v>
      </c>
      <c r="D44" s="70" t="s">
        <v>192</v>
      </c>
      <c r="E44" s="70" t="s">
        <v>253</v>
      </c>
      <c r="F44" s="69" t="s">
        <v>26</v>
      </c>
      <c r="G44" s="69">
        <v>1</v>
      </c>
      <c r="H44" s="1">
        <v>330</v>
      </c>
      <c r="I44" s="1">
        <v>36</v>
      </c>
      <c r="J44" s="69">
        <v>8.65</v>
      </c>
      <c r="K44" s="69">
        <v>1</v>
      </c>
      <c r="Q44" s="3"/>
      <c r="Z44" s="65"/>
      <c r="BC44" s="79"/>
      <c r="BE44" s="80"/>
      <c r="BG44" s="79"/>
      <c r="BM44" s="84"/>
      <c r="BN44" s="74"/>
      <c r="BO44" s="74"/>
      <c r="BP44" s="74"/>
      <c r="BQ44" s="84"/>
      <c r="BR44" s="74"/>
      <c r="BS44" s="74"/>
      <c r="BT44" s="74"/>
    </row>
    <row r="45" spans="1:72">
      <c r="A45" s="66" t="str">
        <f t="shared" si="5"/>
        <v>L5</v>
      </c>
      <c r="B45" s="69" t="s">
        <v>12</v>
      </c>
      <c r="C45" s="70" t="str">
        <f t="shared" si="4"/>
        <v>L5-L9</v>
      </c>
      <c r="D45" s="70" t="s">
        <v>192</v>
      </c>
      <c r="E45" s="70" t="s">
        <v>253</v>
      </c>
      <c r="F45" s="69" t="s">
        <v>26</v>
      </c>
      <c r="G45" s="69">
        <v>1</v>
      </c>
      <c r="H45" s="1">
        <v>260</v>
      </c>
      <c r="I45" s="1">
        <v>32</v>
      </c>
      <c r="J45" s="69">
        <v>8.65</v>
      </c>
      <c r="K45" s="69">
        <v>1</v>
      </c>
      <c r="Q45" s="3"/>
      <c r="Z45" s="65"/>
      <c r="BC45" s="79"/>
      <c r="BE45" s="80"/>
      <c r="BG45" s="79"/>
      <c r="BM45" s="84"/>
      <c r="BN45" s="74"/>
      <c r="BO45" s="74"/>
      <c r="BP45" s="74"/>
      <c r="BQ45" s="84"/>
      <c r="BR45" s="74"/>
      <c r="BS45" s="74"/>
      <c r="BT45" s="74"/>
    </row>
    <row r="46" spans="1:72">
      <c r="A46" s="66" t="str">
        <f t="shared" si="5"/>
        <v>L9</v>
      </c>
      <c r="B46" s="69" t="s">
        <v>13</v>
      </c>
      <c r="C46" s="70" t="str">
        <f t="shared" si="4"/>
        <v>L9-L13</v>
      </c>
      <c r="D46" s="70" t="s">
        <v>192</v>
      </c>
      <c r="E46" s="70" t="s">
        <v>253</v>
      </c>
      <c r="F46" s="1">
        <v>3.25</v>
      </c>
      <c r="G46" s="1">
        <v>1</v>
      </c>
      <c r="H46" s="1">
        <v>95</v>
      </c>
      <c r="I46" s="1">
        <v>32</v>
      </c>
      <c r="J46" s="1">
        <v>2.15</v>
      </c>
      <c r="K46" s="1">
        <v>1</v>
      </c>
      <c r="L46" s="69">
        <v>3.25</v>
      </c>
      <c r="M46" s="69">
        <v>1</v>
      </c>
      <c r="N46" s="69">
        <v>95</v>
      </c>
      <c r="O46" s="69">
        <v>32</v>
      </c>
      <c r="Q46" s="3"/>
      <c r="Z46" s="65"/>
      <c r="BC46" s="79"/>
      <c r="BE46" s="80"/>
      <c r="BG46" s="79"/>
      <c r="BM46" s="84"/>
      <c r="BN46" s="74"/>
      <c r="BO46" s="74"/>
      <c r="BP46" s="74"/>
      <c r="BQ46" s="84"/>
      <c r="BR46" s="74"/>
      <c r="BS46" s="74"/>
      <c r="BT46" s="74"/>
    </row>
    <row r="47" spans="1:72">
      <c r="A47" s="66" t="str">
        <f t="shared" si="5"/>
        <v>L13</v>
      </c>
      <c r="B47" s="69" t="s">
        <v>14</v>
      </c>
      <c r="C47" s="70" t="str">
        <f t="shared" si="4"/>
        <v>L13-L17</v>
      </c>
      <c r="D47" s="70" t="s">
        <v>192</v>
      </c>
      <c r="E47" s="70" t="s">
        <v>253</v>
      </c>
      <c r="F47" s="1">
        <v>2.75</v>
      </c>
      <c r="G47" s="1">
        <v>1</v>
      </c>
      <c r="H47" s="1">
        <v>85</v>
      </c>
      <c r="I47" s="1">
        <v>28</v>
      </c>
      <c r="J47" s="69">
        <v>3.15</v>
      </c>
      <c r="K47" s="69">
        <v>1</v>
      </c>
      <c r="L47" s="69">
        <v>2.75</v>
      </c>
      <c r="M47" s="69">
        <v>1</v>
      </c>
      <c r="N47" s="69">
        <v>85</v>
      </c>
      <c r="O47" s="69">
        <v>28</v>
      </c>
      <c r="Q47" s="3"/>
      <c r="Z47" s="65"/>
      <c r="AU47" s="87"/>
      <c r="BC47" s="79"/>
      <c r="BE47" s="80"/>
      <c r="BG47" s="79"/>
      <c r="BM47" s="84"/>
      <c r="BN47" s="74"/>
      <c r="BO47" s="74"/>
      <c r="BP47" s="74"/>
      <c r="BQ47" s="84"/>
      <c r="BR47" s="74"/>
      <c r="BS47" s="74"/>
      <c r="BT47" s="74"/>
    </row>
    <row r="48" spans="1:72">
      <c r="A48" s="66" t="str">
        <f t="shared" si="5"/>
        <v>L17</v>
      </c>
      <c r="B48" s="69" t="s">
        <v>15</v>
      </c>
      <c r="C48" s="70" t="str">
        <f t="shared" si="4"/>
        <v>L17-L21</v>
      </c>
      <c r="D48" s="70" t="s">
        <v>192</v>
      </c>
      <c r="E48" s="70" t="s">
        <v>253</v>
      </c>
      <c r="F48" s="1">
        <v>2.5499999999999998</v>
      </c>
      <c r="G48" s="1">
        <v>1</v>
      </c>
      <c r="H48" s="1">
        <v>52</v>
      </c>
      <c r="I48" s="1">
        <v>25</v>
      </c>
      <c r="J48" s="69">
        <v>3.55</v>
      </c>
      <c r="K48" s="69">
        <v>1</v>
      </c>
      <c r="L48" s="69">
        <v>2.5499999999999998</v>
      </c>
      <c r="M48" s="69">
        <v>1</v>
      </c>
      <c r="N48" s="69">
        <v>52</v>
      </c>
      <c r="O48" s="69">
        <v>25</v>
      </c>
      <c r="Q48" s="3"/>
      <c r="Z48" s="65"/>
      <c r="AU48" s="87"/>
      <c r="BC48" s="79"/>
      <c r="BE48" s="80"/>
      <c r="BG48" s="79"/>
      <c r="BM48" s="84"/>
      <c r="BN48" s="74"/>
      <c r="BO48" s="74"/>
      <c r="BP48" s="74"/>
      <c r="BQ48" s="84"/>
      <c r="BR48" s="74"/>
      <c r="BS48" s="74"/>
      <c r="BT48" s="74"/>
    </row>
    <row r="49" spans="1:72">
      <c r="A49" s="66" t="str">
        <f t="shared" si="5"/>
        <v>L21</v>
      </c>
      <c r="B49" s="69" t="s">
        <v>16</v>
      </c>
      <c r="C49" s="70" t="str">
        <f t="shared" si="4"/>
        <v>L21-L25</v>
      </c>
      <c r="D49" s="70" t="s">
        <v>192</v>
      </c>
      <c r="E49" s="70" t="s">
        <v>253</v>
      </c>
      <c r="F49" s="1">
        <v>2</v>
      </c>
      <c r="G49" s="1">
        <v>1</v>
      </c>
      <c r="H49" s="1">
        <v>41</v>
      </c>
      <c r="I49" s="1">
        <v>25</v>
      </c>
      <c r="J49" s="69">
        <v>4.6500000000000004</v>
      </c>
      <c r="K49" s="69">
        <v>1</v>
      </c>
      <c r="L49" s="69">
        <v>2</v>
      </c>
      <c r="M49" s="69">
        <v>1</v>
      </c>
      <c r="N49" s="69">
        <v>41</v>
      </c>
      <c r="O49" s="69">
        <v>25</v>
      </c>
      <c r="Q49" s="3"/>
      <c r="Z49" s="65"/>
      <c r="AU49" s="87"/>
      <c r="BC49" s="79"/>
      <c r="BE49" s="80"/>
      <c r="BG49" s="79"/>
      <c r="BM49" s="84"/>
      <c r="BN49" s="74"/>
      <c r="BO49" s="74"/>
      <c r="BP49" s="74"/>
      <c r="BQ49" s="84"/>
      <c r="BR49" s="74"/>
      <c r="BS49" s="74"/>
      <c r="BT49" s="74"/>
    </row>
    <row r="50" spans="1:72">
      <c r="A50" s="66" t="str">
        <f t="shared" si="5"/>
        <v>L25</v>
      </c>
      <c r="B50" s="69" t="s">
        <v>17</v>
      </c>
      <c r="C50" s="70" t="str">
        <f t="shared" si="4"/>
        <v>L25-L30</v>
      </c>
      <c r="D50" s="70" t="s">
        <v>192</v>
      </c>
      <c r="E50" s="70" t="s">
        <v>253</v>
      </c>
      <c r="F50" s="69">
        <v>2</v>
      </c>
      <c r="G50" s="69">
        <v>1</v>
      </c>
      <c r="H50" s="69">
        <v>41</v>
      </c>
      <c r="I50" s="69">
        <v>25</v>
      </c>
      <c r="J50" s="69">
        <v>4.6500000000000004</v>
      </c>
      <c r="K50" s="69">
        <v>1</v>
      </c>
      <c r="L50" s="69">
        <v>2</v>
      </c>
      <c r="M50" s="69">
        <v>1</v>
      </c>
      <c r="N50" s="69">
        <v>41</v>
      </c>
      <c r="O50" s="69">
        <v>25</v>
      </c>
      <c r="Q50" s="3"/>
      <c r="Z50" s="65"/>
      <c r="AU50" s="87"/>
      <c r="BC50" s="79"/>
      <c r="BE50" s="80"/>
      <c r="BG50" s="79"/>
      <c r="BM50" s="84"/>
      <c r="BN50" s="74"/>
      <c r="BO50" s="74"/>
      <c r="BP50" s="74"/>
      <c r="BQ50" s="84"/>
      <c r="BR50" s="74"/>
      <c r="BS50" s="74"/>
      <c r="BT50" s="74"/>
    </row>
    <row r="51" spans="1:72">
      <c r="A51" s="66" t="str">
        <f t="shared" si="5"/>
        <v>L30</v>
      </c>
      <c r="B51" s="69" t="s">
        <v>18</v>
      </c>
      <c r="C51" s="70" t="str">
        <f t="shared" si="4"/>
        <v>L30-L34</v>
      </c>
      <c r="D51" s="70" t="s">
        <v>192</v>
      </c>
      <c r="E51" s="70" t="s">
        <v>253</v>
      </c>
      <c r="F51" s="69">
        <v>2</v>
      </c>
      <c r="G51" s="69">
        <v>1</v>
      </c>
      <c r="H51" s="69">
        <v>41</v>
      </c>
      <c r="I51" s="69">
        <v>25</v>
      </c>
      <c r="J51" s="69">
        <v>4.6500000000000004</v>
      </c>
      <c r="K51" s="69">
        <v>1</v>
      </c>
      <c r="L51" s="69">
        <v>2</v>
      </c>
      <c r="M51" s="69">
        <v>1</v>
      </c>
      <c r="N51" s="69">
        <v>41</v>
      </c>
      <c r="O51" s="69">
        <v>25</v>
      </c>
      <c r="Q51" s="3"/>
      <c r="Z51" s="65"/>
      <c r="AU51" s="87"/>
      <c r="BC51" s="79"/>
      <c r="BE51" s="80"/>
      <c r="BG51" s="79"/>
      <c r="BM51" s="84"/>
      <c r="BN51" s="74"/>
      <c r="BO51" s="74"/>
      <c r="BP51" s="74"/>
      <c r="BQ51" s="84"/>
      <c r="BR51" s="74"/>
      <c r="BS51" s="74"/>
      <c r="BT51" s="74"/>
    </row>
    <row r="52" spans="1:72">
      <c r="A52" s="66" t="str">
        <f t="shared" si="5"/>
        <v>L34</v>
      </c>
      <c r="B52" s="69" t="s">
        <v>19</v>
      </c>
      <c r="C52" s="70" t="str">
        <f t="shared" si="4"/>
        <v>L34-L38</v>
      </c>
      <c r="D52" s="70" t="s">
        <v>192</v>
      </c>
      <c r="E52" s="70" t="s">
        <v>253</v>
      </c>
      <c r="F52" s="69">
        <v>2</v>
      </c>
      <c r="G52" s="69">
        <v>1</v>
      </c>
      <c r="H52" s="69">
        <v>45</v>
      </c>
      <c r="I52" s="69">
        <v>25</v>
      </c>
      <c r="J52" s="69">
        <v>4.6500000000000004</v>
      </c>
      <c r="K52" s="69">
        <v>1</v>
      </c>
      <c r="L52" s="69">
        <v>2</v>
      </c>
      <c r="M52" s="69">
        <v>1</v>
      </c>
      <c r="N52" s="69">
        <v>45</v>
      </c>
      <c r="O52" s="69">
        <v>25</v>
      </c>
      <c r="Q52" s="3"/>
      <c r="Z52" s="65"/>
      <c r="AU52" s="87"/>
      <c r="BC52" s="79"/>
      <c r="BE52" s="80"/>
      <c r="BG52" s="79"/>
      <c r="BM52" s="84"/>
      <c r="BN52" s="74"/>
      <c r="BO52" s="74"/>
      <c r="BP52" s="74"/>
      <c r="BQ52" s="84"/>
      <c r="BR52" s="74"/>
      <c r="BS52" s="74"/>
      <c r="BT52" s="74"/>
    </row>
    <row r="53" spans="1:72">
      <c r="A53" s="66" t="str">
        <f t="shared" si="5"/>
        <v>L38</v>
      </c>
      <c r="B53" s="69" t="s">
        <v>20</v>
      </c>
      <c r="C53" s="70" t="str">
        <f t="shared" si="4"/>
        <v>L38-L42</v>
      </c>
      <c r="D53" s="70" t="s">
        <v>192</v>
      </c>
      <c r="E53" s="70" t="s">
        <v>253</v>
      </c>
      <c r="F53" s="69">
        <v>2</v>
      </c>
      <c r="G53" s="69">
        <v>1</v>
      </c>
      <c r="H53" s="69">
        <v>45</v>
      </c>
      <c r="I53" s="69">
        <v>25</v>
      </c>
      <c r="J53" s="69">
        <v>4.6500000000000004</v>
      </c>
      <c r="K53" s="69">
        <v>1</v>
      </c>
      <c r="L53" s="69">
        <v>2</v>
      </c>
      <c r="M53" s="69">
        <v>1</v>
      </c>
      <c r="N53" s="69">
        <v>45</v>
      </c>
      <c r="O53" s="69">
        <v>25</v>
      </c>
      <c r="Q53" s="3"/>
      <c r="Z53" s="65"/>
      <c r="AU53" s="87"/>
      <c r="BC53" s="79"/>
      <c r="BE53" s="80"/>
      <c r="BG53" s="79"/>
      <c r="BM53" s="84"/>
      <c r="BN53" s="74"/>
      <c r="BO53" s="74"/>
      <c r="BP53" s="74"/>
      <c r="BQ53" s="84"/>
      <c r="BR53" s="74"/>
      <c r="BS53" s="74"/>
      <c r="BT53" s="74"/>
    </row>
    <row r="54" spans="1:72">
      <c r="A54" s="66" t="str">
        <f t="shared" si="5"/>
        <v>L42</v>
      </c>
      <c r="B54" s="69" t="s">
        <v>21</v>
      </c>
      <c r="C54" s="70" t="str">
        <f t="shared" si="4"/>
        <v>L42-L46</v>
      </c>
      <c r="D54" s="70" t="s">
        <v>192</v>
      </c>
      <c r="E54" s="70" t="s">
        <v>253</v>
      </c>
      <c r="F54" s="69">
        <v>2</v>
      </c>
      <c r="G54" s="69">
        <v>1</v>
      </c>
      <c r="H54" s="69">
        <v>45</v>
      </c>
      <c r="I54" s="69">
        <v>25</v>
      </c>
      <c r="J54" s="69">
        <v>4.6500000000000004</v>
      </c>
      <c r="K54" s="69">
        <v>1</v>
      </c>
      <c r="L54" s="69">
        <v>2</v>
      </c>
      <c r="M54" s="69">
        <v>1</v>
      </c>
      <c r="N54" s="69">
        <v>45</v>
      </c>
      <c r="O54" s="69">
        <v>25</v>
      </c>
      <c r="Q54" s="3"/>
      <c r="Z54" s="65"/>
      <c r="AU54" s="87"/>
      <c r="BC54" s="79"/>
      <c r="BE54" s="80"/>
      <c r="BG54" s="79"/>
      <c r="BM54" s="84"/>
      <c r="BN54" s="74"/>
      <c r="BO54" s="74"/>
      <c r="BP54" s="74"/>
      <c r="BQ54" s="84"/>
      <c r="BR54" s="74"/>
      <c r="BS54" s="74"/>
      <c r="BT54" s="74"/>
    </row>
    <row r="55" spans="1:72">
      <c r="A55" s="66" t="str">
        <f t="shared" si="5"/>
        <v>L46</v>
      </c>
      <c r="B55" s="69" t="s">
        <v>22</v>
      </c>
      <c r="C55" s="70" t="str">
        <f t="shared" si="4"/>
        <v>L46-L50</v>
      </c>
      <c r="D55" s="70" t="s">
        <v>192</v>
      </c>
      <c r="E55" s="70" t="s">
        <v>253</v>
      </c>
      <c r="F55" s="69">
        <v>2</v>
      </c>
      <c r="G55" s="69">
        <v>1</v>
      </c>
      <c r="H55" s="69">
        <v>41</v>
      </c>
      <c r="I55" s="69">
        <v>25</v>
      </c>
      <c r="J55" s="69">
        <v>4.6500000000000004</v>
      </c>
      <c r="K55" s="69">
        <v>1</v>
      </c>
      <c r="L55" s="69">
        <v>2</v>
      </c>
      <c r="M55" s="69">
        <v>1</v>
      </c>
      <c r="N55" s="69">
        <v>41</v>
      </c>
      <c r="O55" s="69">
        <v>25</v>
      </c>
      <c r="Q55" s="3"/>
      <c r="Z55" s="65"/>
      <c r="AU55" s="87"/>
      <c r="BC55" s="79"/>
      <c r="BE55" s="80"/>
      <c r="BG55" s="79"/>
      <c r="BM55" s="84"/>
      <c r="BN55" s="74"/>
      <c r="BO55" s="74"/>
      <c r="BP55" s="74"/>
      <c r="BQ55" s="84"/>
      <c r="BR55" s="74"/>
      <c r="BS55" s="74"/>
      <c r="BT55" s="74"/>
    </row>
    <row r="56" spans="1:72">
      <c r="A56" s="66" t="str">
        <f t="shared" si="5"/>
        <v>L50</v>
      </c>
      <c r="B56" s="69" t="s">
        <v>149</v>
      </c>
      <c r="C56" s="70" t="str">
        <f t="shared" si="4"/>
        <v>L50-MCRM</v>
      </c>
      <c r="D56" s="70" t="s">
        <v>192</v>
      </c>
      <c r="E56" s="70" t="s">
        <v>253</v>
      </c>
      <c r="F56" s="69">
        <v>2</v>
      </c>
      <c r="G56" s="69">
        <v>1</v>
      </c>
      <c r="H56" s="69">
        <v>41</v>
      </c>
      <c r="I56" s="69">
        <v>25</v>
      </c>
      <c r="J56" s="69">
        <v>4.6500000000000004</v>
      </c>
      <c r="K56" s="69">
        <v>1</v>
      </c>
      <c r="L56" s="69">
        <v>2</v>
      </c>
      <c r="M56" s="69">
        <v>1</v>
      </c>
      <c r="N56" s="69">
        <v>41</v>
      </c>
      <c r="O56" s="69">
        <v>25</v>
      </c>
      <c r="Q56" s="3"/>
      <c r="Z56" s="65"/>
      <c r="AU56" s="87"/>
      <c r="BC56" s="79"/>
      <c r="BE56" s="80"/>
      <c r="BG56" s="79"/>
      <c r="BM56" s="84"/>
      <c r="BN56" s="74"/>
      <c r="BO56" s="74"/>
      <c r="BP56" s="74"/>
      <c r="BQ56" s="84"/>
      <c r="BR56" s="74"/>
      <c r="BS56" s="74"/>
      <c r="BT56" s="74"/>
    </row>
    <row r="57" spans="1:72">
      <c r="A57" s="66" t="s">
        <v>7</v>
      </c>
      <c r="B57" s="69" t="s">
        <v>8</v>
      </c>
      <c r="C57" s="70" t="str">
        <f>CONCATENATE(A57,"-",B57)</f>
        <v>FND-B1</v>
      </c>
      <c r="D57" s="70" t="s">
        <v>191</v>
      </c>
      <c r="E57" s="70" t="s">
        <v>254</v>
      </c>
      <c r="F57" s="69" t="s">
        <v>26</v>
      </c>
      <c r="G57" s="69">
        <v>1</v>
      </c>
      <c r="H57" s="72">
        <v>370</v>
      </c>
      <c r="I57" s="72">
        <v>36</v>
      </c>
      <c r="J57" s="69">
        <v>8.65</v>
      </c>
      <c r="K57" s="69">
        <v>1</v>
      </c>
      <c r="L57" s="69"/>
      <c r="M57" s="69"/>
      <c r="N57" s="69"/>
      <c r="O57" s="69"/>
      <c r="Q57" s="3"/>
      <c r="Z57" s="65"/>
      <c r="BC57" s="79"/>
      <c r="BE57" s="80"/>
      <c r="BG57" s="79"/>
      <c r="BM57" s="84"/>
      <c r="BN57" s="74"/>
      <c r="BO57" s="74"/>
      <c r="BP57" s="74"/>
      <c r="BQ57" s="84"/>
      <c r="BR57" s="74"/>
      <c r="BS57" s="74"/>
      <c r="BT57" s="74"/>
    </row>
    <row r="58" spans="1:72">
      <c r="A58" s="66" t="str">
        <f>B57</f>
        <v>B1</v>
      </c>
      <c r="B58" s="69" t="s">
        <v>9</v>
      </c>
      <c r="C58" s="70" t="str">
        <f t="shared" ref="C58:C72" si="6">CONCATENATE(A58,"-",B58)</f>
        <v>B1-LG</v>
      </c>
      <c r="D58" s="70" t="s">
        <v>191</v>
      </c>
      <c r="E58" s="70" t="s">
        <v>254</v>
      </c>
      <c r="F58" s="69" t="s">
        <v>26</v>
      </c>
      <c r="G58" s="69">
        <v>1</v>
      </c>
      <c r="H58" s="72">
        <v>394</v>
      </c>
      <c r="I58" s="72">
        <v>36</v>
      </c>
      <c r="J58" s="69">
        <v>8.65</v>
      </c>
      <c r="K58" s="69">
        <v>1</v>
      </c>
      <c r="L58" s="69"/>
      <c r="M58" s="69"/>
      <c r="N58" s="69"/>
      <c r="O58" s="69"/>
      <c r="Q58" s="3"/>
      <c r="Z58" s="65"/>
      <c r="BC58" s="79"/>
      <c r="BE58" s="80"/>
      <c r="BG58" s="79"/>
      <c r="BM58" s="84"/>
      <c r="BN58" s="74"/>
      <c r="BO58" s="74"/>
      <c r="BP58" s="74"/>
      <c r="BQ58" s="84"/>
      <c r="BR58" s="74"/>
      <c r="BS58" s="74"/>
      <c r="BT58" s="74"/>
    </row>
    <row r="59" spans="1:72">
      <c r="A59" s="66" t="str">
        <f t="shared" ref="A59:A72" si="7">B58</f>
        <v>LG</v>
      </c>
      <c r="B59" s="69" t="s">
        <v>10</v>
      </c>
      <c r="C59" s="70" t="str">
        <f t="shared" si="6"/>
        <v>LG-L1</v>
      </c>
      <c r="D59" s="70" t="s">
        <v>191</v>
      </c>
      <c r="E59" s="70" t="s">
        <v>254</v>
      </c>
      <c r="F59" s="69" t="s">
        <v>26</v>
      </c>
      <c r="G59" s="69">
        <v>1</v>
      </c>
      <c r="H59" s="72">
        <v>373</v>
      </c>
      <c r="I59" s="72">
        <v>36</v>
      </c>
      <c r="J59" s="69">
        <v>8.65</v>
      </c>
      <c r="K59" s="69">
        <v>1</v>
      </c>
      <c r="L59" s="69"/>
      <c r="M59" s="69"/>
      <c r="N59" s="69"/>
      <c r="O59" s="69"/>
      <c r="Q59" s="3"/>
      <c r="Z59" s="65"/>
      <c r="BC59" s="79"/>
      <c r="BE59" s="80"/>
      <c r="BG59" s="79"/>
      <c r="BM59" s="84"/>
      <c r="BN59" s="74"/>
      <c r="BO59" s="74"/>
      <c r="BP59" s="74"/>
      <c r="BQ59" s="84"/>
      <c r="BR59" s="74"/>
      <c r="BS59" s="74"/>
      <c r="BT59" s="74"/>
    </row>
    <row r="60" spans="1:72">
      <c r="A60" s="66" t="str">
        <f t="shared" si="7"/>
        <v>L1</v>
      </c>
      <c r="B60" s="69" t="s">
        <v>11</v>
      </c>
      <c r="C60" s="70" t="str">
        <f t="shared" si="6"/>
        <v>L1-L5</v>
      </c>
      <c r="D60" s="70" t="s">
        <v>191</v>
      </c>
      <c r="E60" s="70" t="s">
        <v>254</v>
      </c>
      <c r="F60" s="69" t="s">
        <v>26</v>
      </c>
      <c r="G60" s="69">
        <v>1</v>
      </c>
      <c r="H60" s="69">
        <v>360</v>
      </c>
      <c r="I60" s="69">
        <v>36</v>
      </c>
      <c r="J60" s="69">
        <v>8.65</v>
      </c>
      <c r="K60" s="69">
        <v>1</v>
      </c>
      <c r="L60" s="69"/>
      <c r="M60" s="69"/>
      <c r="N60" s="69"/>
      <c r="O60" s="69"/>
      <c r="Q60" s="3"/>
      <c r="Z60" s="65"/>
      <c r="BC60" s="79"/>
      <c r="BE60" s="80"/>
      <c r="BG60" s="79"/>
      <c r="BM60" s="84"/>
      <c r="BN60" s="74"/>
      <c r="BO60" s="74"/>
      <c r="BP60" s="74"/>
      <c r="BQ60" s="84"/>
      <c r="BR60" s="74"/>
      <c r="BS60" s="74"/>
      <c r="BT60" s="74"/>
    </row>
    <row r="61" spans="1:72">
      <c r="A61" s="66" t="str">
        <f t="shared" si="7"/>
        <v>L5</v>
      </c>
      <c r="B61" s="69" t="s">
        <v>12</v>
      </c>
      <c r="C61" s="70" t="str">
        <f t="shared" si="6"/>
        <v>L5-L9</v>
      </c>
      <c r="D61" s="70" t="s">
        <v>191</v>
      </c>
      <c r="E61" s="70" t="s">
        <v>254</v>
      </c>
      <c r="F61" s="69" t="s">
        <v>26</v>
      </c>
      <c r="G61" s="69">
        <v>1</v>
      </c>
      <c r="H61" s="69">
        <v>288</v>
      </c>
      <c r="I61" s="69">
        <v>32</v>
      </c>
      <c r="J61" s="69">
        <v>8.65</v>
      </c>
      <c r="K61" s="69">
        <v>1</v>
      </c>
      <c r="L61" s="69"/>
      <c r="M61" s="69"/>
      <c r="N61" s="69"/>
      <c r="O61" s="69"/>
      <c r="Q61" s="3"/>
      <c r="Z61" s="65"/>
      <c r="BC61" s="79"/>
      <c r="BE61" s="3"/>
      <c r="BG61" s="79"/>
      <c r="BI61" s="80"/>
      <c r="BM61" s="84"/>
      <c r="BN61" s="74"/>
      <c r="BO61" s="74"/>
      <c r="BP61" s="74"/>
      <c r="BQ61" s="84"/>
      <c r="BR61" s="74"/>
      <c r="BS61" s="74"/>
      <c r="BT61" s="74"/>
    </row>
    <row r="62" spans="1:72">
      <c r="A62" s="66" t="str">
        <f t="shared" si="7"/>
        <v>L9</v>
      </c>
      <c r="B62" s="69" t="s">
        <v>13</v>
      </c>
      <c r="C62" s="70" t="str">
        <f t="shared" si="6"/>
        <v>L9-L13</v>
      </c>
      <c r="D62" s="70" t="s">
        <v>191</v>
      </c>
      <c r="E62" s="70" t="s">
        <v>254</v>
      </c>
      <c r="F62" s="69">
        <v>3</v>
      </c>
      <c r="G62" s="69">
        <v>1</v>
      </c>
      <c r="H62" s="69">
        <v>105</v>
      </c>
      <c r="I62" s="69">
        <v>32</v>
      </c>
      <c r="J62" s="69">
        <v>2.65</v>
      </c>
      <c r="K62" s="69">
        <v>1</v>
      </c>
      <c r="L62" s="69">
        <v>3</v>
      </c>
      <c r="M62" s="69">
        <v>1</v>
      </c>
      <c r="N62" s="69">
        <v>105</v>
      </c>
      <c r="O62" s="69">
        <v>32</v>
      </c>
      <c r="Q62" s="3"/>
      <c r="Z62" s="65"/>
      <c r="BC62" s="79"/>
      <c r="BE62" s="80"/>
      <c r="BG62" s="79"/>
      <c r="BM62" s="84"/>
      <c r="BN62" s="74"/>
      <c r="BO62" s="74"/>
      <c r="BP62" s="74"/>
      <c r="BQ62" s="84"/>
      <c r="BR62" s="74"/>
      <c r="BS62" s="74"/>
      <c r="BT62" s="74"/>
    </row>
    <row r="63" spans="1:72">
      <c r="A63" s="66" t="str">
        <f t="shared" si="7"/>
        <v>L13</v>
      </c>
      <c r="B63" s="69" t="s">
        <v>14</v>
      </c>
      <c r="C63" s="70" t="str">
        <f t="shared" si="6"/>
        <v>L13-L17</v>
      </c>
      <c r="D63" s="70" t="s">
        <v>191</v>
      </c>
      <c r="E63" s="70" t="s">
        <v>254</v>
      </c>
      <c r="F63" s="69">
        <v>2.35</v>
      </c>
      <c r="G63" s="69">
        <v>1</v>
      </c>
      <c r="H63" s="69">
        <v>90</v>
      </c>
      <c r="I63" s="69">
        <v>28</v>
      </c>
      <c r="J63" s="69">
        <v>3.95</v>
      </c>
      <c r="K63" s="69">
        <v>1</v>
      </c>
      <c r="L63" s="69">
        <v>2.35</v>
      </c>
      <c r="M63" s="69">
        <v>1</v>
      </c>
      <c r="N63" s="69">
        <v>90</v>
      </c>
      <c r="O63" s="69">
        <v>28</v>
      </c>
      <c r="Q63" s="3"/>
      <c r="Z63" s="65"/>
      <c r="AU63" s="87"/>
      <c r="BC63" s="79"/>
      <c r="BE63" s="80"/>
      <c r="BG63" s="79"/>
      <c r="BM63" s="84"/>
      <c r="BN63" s="74"/>
      <c r="BO63" s="74"/>
      <c r="BP63" s="74"/>
      <c r="BQ63" s="84"/>
      <c r="BR63" s="74"/>
      <c r="BS63" s="74"/>
      <c r="BT63" s="74"/>
    </row>
    <row r="64" spans="1:72">
      <c r="A64" s="66" t="str">
        <f t="shared" si="7"/>
        <v>L17</v>
      </c>
      <c r="B64" s="69" t="s">
        <v>15</v>
      </c>
      <c r="C64" s="70" t="str">
        <f t="shared" si="6"/>
        <v>L17-L21</v>
      </c>
      <c r="D64" s="70" t="s">
        <v>191</v>
      </c>
      <c r="E64" s="70" t="s">
        <v>254</v>
      </c>
      <c r="F64" s="69">
        <v>2</v>
      </c>
      <c r="G64" s="69">
        <v>1</v>
      </c>
      <c r="H64" s="69">
        <v>62</v>
      </c>
      <c r="I64" s="69">
        <v>25</v>
      </c>
      <c r="J64" s="69">
        <v>4.6500000000000004</v>
      </c>
      <c r="K64" s="69">
        <v>1</v>
      </c>
      <c r="L64" s="69">
        <v>2</v>
      </c>
      <c r="M64" s="69">
        <v>1</v>
      </c>
      <c r="N64" s="69">
        <v>62</v>
      </c>
      <c r="O64" s="69">
        <v>25</v>
      </c>
      <c r="Q64" s="3"/>
      <c r="Z64" s="65"/>
      <c r="AU64" s="87"/>
      <c r="BC64" s="79"/>
      <c r="BE64" s="80"/>
      <c r="BG64" s="79"/>
      <c r="BM64" s="84"/>
      <c r="BN64" s="74"/>
      <c r="BO64" s="74"/>
      <c r="BP64" s="74"/>
      <c r="BQ64" s="84"/>
      <c r="BR64" s="74"/>
      <c r="BS64" s="74"/>
      <c r="BT64" s="74"/>
    </row>
    <row r="65" spans="1:72">
      <c r="A65" s="66" t="str">
        <f t="shared" si="7"/>
        <v>L21</v>
      </c>
      <c r="B65" s="69" t="s">
        <v>16</v>
      </c>
      <c r="C65" s="70" t="str">
        <f t="shared" si="6"/>
        <v>L21-L25</v>
      </c>
      <c r="D65" s="70" t="s">
        <v>191</v>
      </c>
      <c r="E65" s="70" t="s">
        <v>254</v>
      </c>
      <c r="F65" s="69">
        <v>2</v>
      </c>
      <c r="G65" s="69">
        <v>1</v>
      </c>
      <c r="H65" s="69">
        <v>50</v>
      </c>
      <c r="I65" s="69">
        <v>25</v>
      </c>
      <c r="J65" s="69">
        <v>4.6500000000000004</v>
      </c>
      <c r="K65" s="69">
        <v>1</v>
      </c>
      <c r="L65" s="69">
        <v>2</v>
      </c>
      <c r="M65" s="69">
        <v>1</v>
      </c>
      <c r="N65" s="69">
        <v>50</v>
      </c>
      <c r="O65" s="69">
        <v>25</v>
      </c>
      <c r="Q65" s="3"/>
      <c r="Z65" s="65"/>
      <c r="AU65" s="87"/>
      <c r="BC65" s="79"/>
      <c r="BE65" s="80"/>
      <c r="BG65" s="79"/>
      <c r="BM65" s="84"/>
      <c r="BN65" s="74"/>
      <c r="BO65" s="74"/>
      <c r="BP65" s="74"/>
      <c r="BQ65" s="84"/>
      <c r="BR65" s="74"/>
      <c r="BS65" s="74"/>
      <c r="BT65" s="74"/>
    </row>
    <row r="66" spans="1:72">
      <c r="A66" s="66" t="str">
        <f t="shared" si="7"/>
        <v>L25</v>
      </c>
      <c r="B66" s="69" t="s">
        <v>17</v>
      </c>
      <c r="C66" s="70" t="str">
        <f t="shared" si="6"/>
        <v>L25-L30</v>
      </c>
      <c r="D66" s="70" t="s">
        <v>191</v>
      </c>
      <c r="E66" s="70" t="s">
        <v>254</v>
      </c>
      <c r="F66" s="69">
        <v>2</v>
      </c>
      <c r="G66" s="69">
        <v>1</v>
      </c>
      <c r="H66" s="69">
        <v>48</v>
      </c>
      <c r="I66" s="69">
        <v>25</v>
      </c>
      <c r="J66" s="69">
        <v>4.6500000000000004</v>
      </c>
      <c r="K66" s="69">
        <v>1</v>
      </c>
      <c r="L66" s="69">
        <v>2</v>
      </c>
      <c r="M66" s="69">
        <v>1</v>
      </c>
      <c r="N66" s="69">
        <v>48</v>
      </c>
      <c r="O66" s="69">
        <v>25</v>
      </c>
      <c r="Q66" s="3"/>
      <c r="Z66" s="65"/>
      <c r="AU66" s="87"/>
      <c r="BC66" s="79"/>
      <c r="BE66" s="80"/>
      <c r="BG66" s="79"/>
      <c r="BI66" s="86"/>
      <c r="BM66" s="84"/>
      <c r="BN66" s="74"/>
      <c r="BO66" s="74"/>
      <c r="BP66" s="74"/>
      <c r="BQ66" s="84"/>
      <c r="BR66" s="74"/>
      <c r="BS66" s="74"/>
      <c r="BT66" s="74"/>
    </row>
    <row r="67" spans="1:72">
      <c r="A67" s="66" t="str">
        <f t="shared" si="7"/>
        <v>L30</v>
      </c>
      <c r="B67" s="69" t="s">
        <v>18</v>
      </c>
      <c r="C67" s="70" t="str">
        <f t="shared" si="6"/>
        <v>L30-L34</v>
      </c>
      <c r="D67" s="70" t="s">
        <v>191</v>
      </c>
      <c r="E67" s="70" t="s">
        <v>254</v>
      </c>
      <c r="F67" s="69">
        <v>2</v>
      </c>
      <c r="G67" s="69">
        <v>1</v>
      </c>
      <c r="H67" s="69">
        <v>48</v>
      </c>
      <c r="I67" s="69">
        <v>25</v>
      </c>
      <c r="J67" s="69">
        <v>4.6500000000000004</v>
      </c>
      <c r="K67" s="69">
        <v>1</v>
      </c>
      <c r="L67" s="69">
        <v>2</v>
      </c>
      <c r="M67" s="69">
        <v>1</v>
      </c>
      <c r="N67" s="69">
        <v>48</v>
      </c>
      <c r="O67" s="69">
        <v>25</v>
      </c>
      <c r="Q67" s="3"/>
      <c r="Z67" s="65"/>
      <c r="AU67" s="87"/>
      <c r="BC67" s="79"/>
      <c r="BE67" s="80"/>
      <c r="BG67" s="79"/>
      <c r="BI67" s="86"/>
      <c r="BM67" s="84"/>
      <c r="BN67" s="74"/>
      <c r="BO67" s="74"/>
      <c r="BP67" s="74"/>
      <c r="BQ67" s="84"/>
      <c r="BR67" s="74"/>
      <c r="BS67" s="74"/>
      <c r="BT67" s="74"/>
    </row>
    <row r="68" spans="1:72">
      <c r="A68" s="66" t="str">
        <f t="shared" si="7"/>
        <v>L34</v>
      </c>
      <c r="B68" s="69" t="s">
        <v>19</v>
      </c>
      <c r="C68" s="70" t="str">
        <f t="shared" si="6"/>
        <v>L34-L38</v>
      </c>
      <c r="D68" s="70" t="s">
        <v>191</v>
      </c>
      <c r="E68" s="70" t="s">
        <v>254</v>
      </c>
      <c r="F68" s="69">
        <v>2</v>
      </c>
      <c r="G68" s="69">
        <v>1</v>
      </c>
      <c r="H68" s="69">
        <v>52</v>
      </c>
      <c r="I68" s="69">
        <v>25</v>
      </c>
      <c r="J68" s="69">
        <v>4.6500000000000004</v>
      </c>
      <c r="K68" s="69">
        <v>1</v>
      </c>
      <c r="L68" s="69">
        <v>2</v>
      </c>
      <c r="M68" s="69">
        <v>1</v>
      </c>
      <c r="N68" s="69">
        <v>52</v>
      </c>
      <c r="O68" s="69">
        <v>25</v>
      </c>
      <c r="Q68" s="3"/>
      <c r="Z68" s="65"/>
      <c r="AU68" s="87"/>
      <c r="BC68" s="79"/>
      <c r="BE68" s="80"/>
      <c r="BG68" s="79"/>
      <c r="BI68" s="86"/>
      <c r="BM68" s="84"/>
      <c r="BN68" s="74"/>
      <c r="BO68" s="74"/>
      <c r="BP68" s="74"/>
      <c r="BQ68" s="84"/>
      <c r="BR68" s="74"/>
      <c r="BS68" s="74"/>
      <c r="BT68" s="74"/>
    </row>
    <row r="69" spans="1:72">
      <c r="A69" s="66" t="str">
        <f t="shared" si="7"/>
        <v>L38</v>
      </c>
      <c r="B69" s="69" t="s">
        <v>20</v>
      </c>
      <c r="C69" s="70" t="str">
        <f t="shared" si="6"/>
        <v>L38-L42</v>
      </c>
      <c r="D69" s="70" t="s">
        <v>191</v>
      </c>
      <c r="E69" s="70" t="s">
        <v>254</v>
      </c>
      <c r="F69" s="69">
        <v>2</v>
      </c>
      <c r="G69" s="69">
        <v>1</v>
      </c>
      <c r="H69" s="69">
        <v>55</v>
      </c>
      <c r="I69" s="69">
        <v>25</v>
      </c>
      <c r="J69" s="69">
        <v>4.6500000000000004</v>
      </c>
      <c r="K69" s="69">
        <v>1</v>
      </c>
      <c r="L69" s="69">
        <v>2</v>
      </c>
      <c r="M69" s="69">
        <v>1</v>
      </c>
      <c r="N69" s="69">
        <v>55</v>
      </c>
      <c r="O69" s="69">
        <v>25</v>
      </c>
      <c r="Q69" s="3"/>
      <c r="Z69" s="65"/>
      <c r="AU69" s="87"/>
      <c r="BC69" s="79"/>
      <c r="BE69" s="80"/>
      <c r="BG69" s="79"/>
      <c r="BI69" s="86"/>
      <c r="BM69" s="84"/>
      <c r="BN69" s="74"/>
      <c r="BO69" s="74"/>
      <c r="BP69" s="74"/>
      <c r="BQ69" s="84"/>
      <c r="BR69" s="74"/>
      <c r="BS69" s="74"/>
      <c r="BT69" s="74"/>
    </row>
    <row r="70" spans="1:72">
      <c r="A70" s="66" t="str">
        <f t="shared" si="7"/>
        <v>L42</v>
      </c>
      <c r="B70" s="69" t="s">
        <v>21</v>
      </c>
      <c r="C70" s="70" t="str">
        <f t="shared" si="6"/>
        <v>L42-L46</v>
      </c>
      <c r="D70" s="70" t="s">
        <v>191</v>
      </c>
      <c r="E70" s="70" t="s">
        <v>254</v>
      </c>
      <c r="F70" s="69">
        <v>2</v>
      </c>
      <c r="G70" s="69">
        <v>1</v>
      </c>
      <c r="H70" s="69">
        <v>50</v>
      </c>
      <c r="I70" s="69">
        <v>25</v>
      </c>
      <c r="J70" s="69">
        <v>4.6500000000000004</v>
      </c>
      <c r="K70" s="69">
        <v>1</v>
      </c>
      <c r="L70" s="69">
        <v>2</v>
      </c>
      <c r="M70" s="69">
        <v>1</v>
      </c>
      <c r="N70" s="69">
        <v>50</v>
      </c>
      <c r="O70" s="69">
        <v>25</v>
      </c>
      <c r="Q70" s="3"/>
      <c r="Z70" s="65"/>
      <c r="AU70" s="87"/>
      <c r="BC70" s="79"/>
      <c r="BE70" s="80"/>
      <c r="BG70" s="79"/>
      <c r="BI70" s="86"/>
      <c r="BM70" s="84"/>
      <c r="BN70" s="74"/>
      <c r="BO70" s="74"/>
      <c r="BP70" s="74"/>
      <c r="BQ70" s="84"/>
      <c r="BR70" s="74"/>
      <c r="BS70" s="74"/>
      <c r="BT70" s="74"/>
    </row>
    <row r="71" spans="1:72">
      <c r="A71" s="66" t="str">
        <f t="shared" si="7"/>
        <v>L46</v>
      </c>
      <c r="B71" s="69" t="s">
        <v>22</v>
      </c>
      <c r="C71" s="70" t="str">
        <f t="shared" si="6"/>
        <v>L46-L50</v>
      </c>
      <c r="D71" s="70" t="s">
        <v>191</v>
      </c>
      <c r="E71" s="70" t="s">
        <v>254</v>
      </c>
      <c r="F71" s="69">
        <v>2</v>
      </c>
      <c r="G71" s="69">
        <v>1</v>
      </c>
      <c r="H71" s="69">
        <v>41</v>
      </c>
      <c r="I71" s="69">
        <v>25</v>
      </c>
      <c r="J71" s="69">
        <v>4.6500000000000004</v>
      </c>
      <c r="K71" s="69">
        <v>1</v>
      </c>
      <c r="L71" s="69">
        <v>2</v>
      </c>
      <c r="M71" s="69">
        <v>1</v>
      </c>
      <c r="N71" s="69">
        <v>41</v>
      </c>
      <c r="O71" s="69">
        <v>25</v>
      </c>
      <c r="Q71" s="3"/>
      <c r="Z71" s="65"/>
      <c r="AU71" s="87"/>
      <c r="BC71" s="79"/>
      <c r="BE71" s="80"/>
      <c r="BG71" s="79"/>
      <c r="BI71" s="86"/>
      <c r="BM71" s="84"/>
      <c r="BN71" s="74"/>
      <c r="BO71" s="74"/>
      <c r="BP71" s="74"/>
      <c r="BQ71" s="84"/>
      <c r="BR71" s="74"/>
      <c r="BS71" s="74"/>
      <c r="BT71" s="74"/>
    </row>
    <row r="72" spans="1:72">
      <c r="A72" s="66" t="str">
        <f t="shared" si="7"/>
        <v>L50</v>
      </c>
      <c r="B72" s="69" t="s">
        <v>149</v>
      </c>
      <c r="C72" s="70" t="str">
        <f t="shared" si="6"/>
        <v>L50-MCRM</v>
      </c>
      <c r="D72" s="70" t="s">
        <v>191</v>
      </c>
      <c r="E72" s="70" t="s">
        <v>254</v>
      </c>
      <c r="F72" s="69">
        <v>2</v>
      </c>
      <c r="G72" s="69">
        <v>1</v>
      </c>
      <c r="H72" s="69">
        <v>41</v>
      </c>
      <c r="I72" s="69">
        <v>25</v>
      </c>
      <c r="J72" s="69">
        <v>4.6500000000000004</v>
      </c>
      <c r="K72" s="69">
        <v>1</v>
      </c>
      <c r="L72" s="69">
        <v>2</v>
      </c>
      <c r="M72" s="69">
        <v>1</v>
      </c>
      <c r="N72" s="69">
        <v>41</v>
      </c>
      <c r="O72" s="69">
        <v>25</v>
      </c>
      <c r="Q72" s="3"/>
      <c r="Z72" s="65"/>
      <c r="AU72" s="87"/>
      <c r="BC72" s="79"/>
      <c r="BE72" s="80"/>
      <c r="BG72" s="79"/>
      <c r="BI72" s="86"/>
      <c r="BJ72" s="3"/>
      <c r="BM72" s="84"/>
      <c r="BN72" s="74"/>
      <c r="BO72" s="74"/>
      <c r="BP72" s="74"/>
      <c r="BQ72" s="84"/>
      <c r="BR72" s="74"/>
      <c r="BS72" s="74"/>
      <c r="BT72" s="74"/>
    </row>
    <row r="73" spans="1:72">
      <c r="A73" s="66" t="s">
        <v>7</v>
      </c>
      <c r="B73" s="77" t="s">
        <v>8</v>
      </c>
      <c r="C73" s="76" t="str">
        <f>CONCATENATE(A73,"-",B73)</f>
        <v>FND-B1</v>
      </c>
      <c r="D73" s="2" t="s">
        <v>193</v>
      </c>
      <c r="E73" s="2" t="s">
        <v>267</v>
      </c>
      <c r="F73" s="1" t="s">
        <v>26</v>
      </c>
      <c r="G73" s="1">
        <v>1</v>
      </c>
      <c r="H73" s="1">
        <v>64</v>
      </c>
      <c r="I73" s="1">
        <v>32</v>
      </c>
      <c r="J73" s="1">
        <v>3.3</v>
      </c>
      <c r="K73" s="1">
        <v>1</v>
      </c>
      <c r="Z73" s="65"/>
      <c r="BC73" s="79"/>
      <c r="BE73" s="77"/>
      <c r="BG73" s="79"/>
      <c r="BI73" s="3"/>
      <c r="BJ73" s="3"/>
      <c r="BM73" s="84"/>
      <c r="BN73" s="74"/>
      <c r="BO73" s="74"/>
      <c r="BP73" s="74"/>
      <c r="BQ73" s="84"/>
      <c r="BR73" s="74"/>
      <c r="BS73" s="74"/>
      <c r="BT73" s="74"/>
    </row>
    <row r="74" spans="1:72">
      <c r="A74" s="66" t="str">
        <f>B73</f>
        <v>B1</v>
      </c>
      <c r="B74" s="77" t="s">
        <v>9</v>
      </c>
      <c r="C74" s="76" t="str">
        <f t="shared" ref="C74:C88" si="8">CONCATENATE(A74,"-",B74)</f>
        <v>B1-LG</v>
      </c>
      <c r="D74" s="76" t="s">
        <v>193</v>
      </c>
      <c r="E74" s="76" t="s">
        <v>267</v>
      </c>
      <c r="F74" s="77" t="s">
        <v>26</v>
      </c>
      <c r="G74" s="77">
        <v>1</v>
      </c>
      <c r="H74" s="1">
        <v>64</v>
      </c>
      <c r="I74" s="1">
        <v>32</v>
      </c>
      <c r="J74" s="77">
        <v>3.3</v>
      </c>
      <c r="K74" s="77">
        <v>1</v>
      </c>
      <c r="Q74" s="87"/>
      <c r="Z74" s="65"/>
      <c r="BC74" s="79"/>
      <c r="BE74" s="77"/>
      <c r="BG74" s="79"/>
      <c r="BI74" s="3"/>
      <c r="BJ74" s="3"/>
      <c r="BM74" s="84"/>
      <c r="BN74" s="74"/>
      <c r="BO74" s="74"/>
      <c r="BP74" s="74"/>
      <c r="BQ74" s="84"/>
      <c r="BR74" s="74"/>
      <c r="BS74" s="74"/>
      <c r="BT74" s="74"/>
    </row>
    <row r="75" spans="1:72">
      <c r="A75" s="66" t="str">
        <f t="shared" ref="A75:A88" si="9">B74</f>
        <v>LG</v>
      </c>
      <c r="B75" s="77" t="s">
        <v>10</v>
      </c>
      <c r="C75" s="76" t="str">
        <f t="shared" si="8"/>
        <v>LG-L1</v>
      </c>
      <c r="D75" s="76" t="s">
        <v>193</v>
      </c>
      <c r="E75" s="76" t="s">
        <v>267</v>
      </c>
      <c r="F75" s="77" t="s">
        <v>26</v>
      </c>
      <c r="G75" s="77">
        <v>1</v>
      </c>
      <c r="H75" s="1">
        <v>57</v>
      </c>
      <c r="I75" s="1">
        <v>32</v>
      </c>
      <c r="J75" s="77">
        <v>3.3</v>
      </c>
      <c r="K75" s="77">
        <v>1</v>
      </c>
      <c r="Q75" s="87"/>
      <c r="Z75" s="65"/>
      <c r="BC75" s="79"/>
      <c r="BE75" s="77"/>
      <c r="BG75" s="79"/>
      <c r="BI75" s="3"/>
      <c r="BJ75" s="3"/>
      <c r="BM75" s="84"/>
      <c r="BN75" s="74"/>
      <c r="BO75" s="74"/>
      <c r="BP75" s="74"/>
      <c r="BQ75" s="84"/>
      <c r="BR75" s="74"/>
      <c r="BS75" s="74"/>
      <c r="BT75" s="74"/>
    </row>
    <row r="76" spans="1:72">
      <c r="A76" s="66" t="str">
        <f t="shared" si="9"/>
        <v>L1</v>
      </c>
      <c r="B76" s="77" t="s">
        <v>11</v>
      </c>
      <c r="C76" s="76" t="str">
        <f t="shared" si="8"/>
        <v>L1-L5</v>
      </c>
      <c r="D76" s="76" t="s">
        <v>193</v>
      </c>
      <c r="E76" s="76" t="s">
        <v>267</v>
      </c>
      <c r="F76" s="77" t="s">
        <v>26</v>
      </c>
      <c r="G76" s="77">
        <v>1</v>
      </c>
      <c r="H76" s="1">
        <v>57</v>
      </c>
      <c r="I76" s="1">
        <v>32</v>
      </c>
      <c r="J76" s="77">
        <v>3.3</v>
      </c>
      <c r="K76" s="77">
        <v>1</v>
      </c>
      <c r="Q76" s="87"/>
      <c r="Z76" s="65"/>
      <c r="BC76" s="79"/>
      <c r="BE76" s="77"/>
      <c r="BG76" s="79"/>
      <c r="BI76" s="3"/>
      <c r="BJ76" s="3"/>
      <c r="BM76" s="84"/>
      <c r="BN76" s="74"/>
      <c r="BO76" s="74"/>
      <c r="BP76" s="74"/>
      <c r="BQ76" s="84"/>
      <c r="BR76" s="74"/>
      <c r="BS76" s="74"/>
      <c r="BT76" s="74"/>
    </row>
    <row r="77" spans="1:72">
      <c r="A77" s="66" t="str">
        <f t="shared" si="9"/>
        <v>L5</v>
      </c>
      <c r="B77" s="77" t="s">
        <v>12</v>
      </c>
      <c r="C77" s="76" t="str">
        <f t="shared" si="8"/>
        <v>L5-L9</v>
      </c>
      <c r="D77" s="76" t="s">
        <v>193</v>
      </c>
      <c r="E77" s="76" t="s">
        <v>267</v>
      </c>
      <c r="F77" s="77" t="s">
        <v>26</v>
      </c>
      <c r="G77" s="77">
        <v>1</v>
      </c>
      <c r="H77" s="1">
        <v>54</v>
      </c>
      <c r="I77" s="1">
        <v>32</v>
      </c>
      <c r="J77" s="77">
        <v>3.3</v>
      </c>
      <c r="K77" s="77">
        <v>1</v>
      </c>
      <c r="Q77" s="87"/>
      <c r="Z77" s="65"/>
      <c r="BC77" s="79"/>
      <c r="BE77" s="77"/>
      <c r="BG77" s="79"/>
      <c r="BI77" s="3"/>
      <c r="BJ77" s="3"/>
      <c r="BM77" s="84"/>
      <c r="BN77" s="74"/>
      <c r="BO77" s="74"/>
      <c r="BP77" s="74"/>
      <c r="BQ77" s="84"/>
      <c r="BR77" s="74"/>
      <c r="BS77" s="74"/>
      <c r="BT77" s="74"/>
    </row>
    <row r="78" spans="1:72">
      <c r="A78" s="66" t="str">
        <f t="shared" si="9"/>
        <v>L9</v>
      </c>
      <c r="B78" s="77" t="s">
        <v>13</v>
      </c>
      <c r="C78" s="76" t="str">
        <f t="shared" si="8"/>
        <v>L9-L13</v>
      </c>
      <c r="D78" s="76" t="s">
        <v>193</v>
      </c>
      <c r="E78" s="76" t="s">
        <v>267</v>
      </c>
      <c r="F78" s="77" t="s">
        <v>26</v>
      </c>
      <c r="G78" s="77">
        <v>1</v>
      </c>
      <c r="H78" s="1">
        <v>62</v>
      </c>
      <c r="I78" s="1">
        <v>28</v>
      </c>
      <c r="J78" s="77">
        <v>3.3</v>
      </c>
      <c r="K78" s="77">
        <v>1</v>
      </c>
      <c r="Q78" s="87"/>
      <c r="Z78" s="65"/>
      <c r="BC78" s="79"/>
      <c r="BE78" s="77"/>
      <c r="BG78" s="79"/>
      <c r="BI78" s="3"/>
      <c r="BJ78" s="3"/>
      <c r="BM78" s="84"/>
      <c r="BN78" s="74"/>
      <c r="BO78" s="74"/>
      <c r="BP78" s="74"/>
      <c r="BQ78" s="84"/>
      <c r="BR78" s="74"/>
      <c r="BS78" s="74"/>
      <c r="BT78" s="74"/>
    </row>
    <row r="79" spans="1:72">
      <c r="A79" s="66" t="str">
        <f t="shared" si="9"/>
        <v>L13</v>
      </c>
      <c r="B79" s="77" t="s">
        <v>14</v>
      </c>
      <c r="C79" s="76" t="str">
        <f t="shared" si="8"/>
        <v>L13-L17</v>
      </c>
      <c r="D79" s="76" t="s">
        <v>193</v>
      </c>
      <c r="E79" s="76" t="s">
        <v>267</v>
      </c>
      <c r="F79" s="77" t="s">
        <v>26</v>
      </c>
      <c r="G79" s="77">
        <v>1</v>
      </c>
      <c r="H79" s="77">
        <v>62</v>
      </c>
      <c r="I79" s="77">
        <v>28</v>
      </c>
      <c r="J79" s="77">
        <v>3.3</v>
      </c>
      <c r="K79" s="77">
        <v>1</v>
      </c>
      <c r="Q79" s="87"/>
      <c r="Z79" s="65"/>
      <c r="BC79" s="79"/>
      <c r="BE79" s="77"/>
      <c r="BG79" s="79"/>
      <c r="BI79" s="3"/>
      <c r="BJ79" s="3"/>
      <c r="BM79" s="84"/>
      <c r="BN79" s="74"/>
      <c r="BO79" s="74"/>
      <c r="BP79" s="74"/>
      <c r="BQ79" s="84"/>
      <c r="BR79" s="74"/>
      <c r="BS79" s="74"/>
      <c r="BT79" s="74"/>
    </row>
    <row r="80" spans="1:72">
      <c r="A80" s="66" t="str">
        <f t="shared" si="9"/>
        <v>L17</v>
      </c>
      <c r="B80" s="77" t="s">
        <v>15</v>
      </c>
      <c r="C80" s="76" t="str">
        <f t="shared" si="8"/>
        <v>L17-L21</v>
      </c>
      <c r="D80" s="76" t="s">
        <v>193</v>
      </c>
      <c r="E80" s="76" t="s">
        <v>267</v>
      </c>
      <c r="F80" s="77" t="s">
        <v>26</v>
      </c>
      <c r="G80" s="77">
        <v>1</v>
      </c>
      <c r="H80" s="1">
        <v>62</v>
      </c>
      <c r="I80" s="1">
        <v>28</v>
      </c>
      <c r="J80" s="77">
        <v>3.3</v>
      </c>
      <c r="K80" s="77">
        <v>1</v>
      </c>
      <c r="Q80" s="87"/>
      <c r="Z80" s="65"/>
      <c r="BC80" s="79"/>
      <c r="BE80" s="77"/>
      <c r="BG80" s="79"/>
      <c r="BI80" s="3"/>
      <c r="BJ80" s="3"/>
      <c r="BM80" s="84"/>
      <c r="BN80" s="74"/>
      <c r="BO80" s="74"/>
      <c r="BP80" s="74"/>
      <c r="BQ80" s="84"/>
      <c r="BR80" s="74"/>
      <c r="BS80" s="74"/>
      <c r="BT80" s="74"/>
    </row>
    <row r="81" spans="1:73">
      <c r="A81" s="66" t="str">
        <f t="shared" si="9"/>
        <v>L21</v>
      </c>
      <c r="B81" s="77" t="s">
        <v>16</v>
      </c>
      <c r="C81" s="76" t="str">
        <f t="shared" si="8"/>
        <v>L21-L25</v>
      </c>
      <c r="D81" s="76" t="s">
        <v>193</v>
      </c>
      <c r="E81" s="76" t="s">
        <v>267</v>
      </c>
      <c r="F81" s="77" t="s">
        <v>26</v>
      </c>
      <c r="G81" s="77">
        <v>1</v>
      </c>
      <c r="H81" s="1">
        <v>62</v>
      </c>
      <c r="I81" s="1">
        <v>28</v>
      </c>
      <c r="J81" s="77">
        <v>3.3</v>
      </c>
      <c r="K81" s="77">
        <v>1</v>
      </c>
      <c r="Q81" s="87"/>
      <c r="Z81" s="65"/>
      <c r="BC81" s="79"/>
      <c r="BE81" s="77"/>
      <c r="BG81" s="79"/>
      <c r="BI81" s="3"/>
      <c r="BJ81" s="3"/>
      <c r="BM81" s="84"/>
      <c r="BN81" s="74"/>
      <c r="BO81" s="74"/>
      <c r="BP81" s="74"/>
      <c r="BQ81" s="84"/>
      <c r="BR81" s="74"/>
      <c r="BS81" s="74"/>
      <c r="BT81" s="74"/>
    </row>
    <row r="82" spans="1:73">
      <c r="A82" s="66" t="str">
        <f t="shared" si="9"/>
        <v>L25</v>
      </c>
      <c r="B82" s="77" t="s">
        <v>17</v>
      </c>
      <c r="C82" s="76" t="str">
        <f t="shared" si="8"/>
        <v>L25-L30</v>
      </c>
      <c r="D82" s="76" t="s">
        <v>193</v>
      </c>
      <c r="E82" s="76" t="s">
        <v>267</v>
      </c>
      <c r="F82" s="77" t="s">
        <v>26</v>
      </c>
      <c r="G82" s="77">
        <v>1</v>
      </c>
      <c r="H82" s="1">
        <v>62</v>
      </c>
      <c r="I82" s="1">
        <v>28</v>
      </c>
      <c r="J82" s="77">
        <v>3.3</v>
      </c>
      <c r="K82" s="77">
        <v>1</v>
      </c>
      <c r="Q82" s="87"/>
      <c r="Z82" s="65"/>
      <c r="BC82" s="79"/>
      <c r="BE82" s="77"/>
      <c r="BG82" s="79"/>
      <c r="BI82" s="3"/>
      <c r="BJ82" s="3"/>
      <c r="BM82" s="84"/>
      <c r="BN82" s="74"/>
      <c r="BO82" s="74"/>
      <c r="BP82" s="74"/>
      <c r="BQ82" s="84"/>
      <c r="BR82" s="74"/>
      <c r="BS82" s="74"/>
      <c r="BT82" s="74"/>
    </row>
    <row r="83" spans="1:73">
      <c r="A83" s="66" t="str">
        <f t="shared" si="9"/>
        <v>L30</v>
      </c>
      <c r="B83" s="77" t="s">
        <v>18</v>
      </c>
      <c r="C83" s="76" t="str">
        <f t="shared" si="8"/>
        <v>L30-L34</v>
      </c>
      <c r="D83" s="76" t="s">
        <v>193</v>
      </c>
      <c r="E83" s="76" t="s">
        <v>267</v>
      </c>
      <c r="F83" s="1">
        <v>1.2</v>
      </c>
      <c r="G83" s="1">
        <v>1</v>
      </c>
      <c r="H83" s="1">
        <v>36</v>
      </c>
      <c r="I83" s="1">
        <v>25</v>
      </c>
      <c r="J83" s="1">
        <v>0.8</v>
      </c>
      <c r="K83" s="1">
        <v>1</v>
      </c>
      <c r="L83" s="77">
        <v>1.3</v>
      </c>
      <c r="M83" s="77">
        <v>1</v>
      </c>
      <c r="N83" s="77">
        <v>36</v>
      </c>
      <c r="O83" s="77">
        <v>25</v>
      </c>
      <c r="Q83" s="87"/>
      <c r="Z83" s="65"/>
      <c r="BC83" s="79"/>
      <c r="BE83" s="77"/>
      <c r="BG83" s="79"/>
      <c r="BI83" s="3"/>
      <c r="BJ83" s="3"/>
      <c r="BM83" s="84"/>
      <c r="BN83" s="74"/>
      <c r="BO83" s="74"/>
      <c r="BP83" s="74"/>
      <c r="BQ83" s="84"/>
      <c r="BR83" s="74"/>
      <c r="BS83" s="74"/>
      <c r="BT83" s="74"/>
    </row>
    <row r="84" spans="1:73">
      <c r="A84" s="66" t="str">
        <f t="shared" si="9"/>
        <v>L34</v>
      </c>
      <c r="B84" s="77" t="s">
        <v>19</v>
      </c>
      <c r="C84" s="76" t="str">
        <f t="shared" si="8"/>
        <v>L34-L38</v>
      </c>
      <c r="D84" s="76" t="s">
        <v>193</v>
      </c>
      <c r="E84" s="76" t="s">
        <v>267</v>
      </c>
      <c r="F84" s="77">
        <v>1</v>
      </c>
      <c r="G84" s="77">
        <v>1</v>
      </c>
      <c r="H84" s="77">
        <v>25</v>
      </c>
      <c r="I84" s="77">
        <v>25</v>
      </c>
      <c r="J84" s="77">
        <v>1</v>
      </c>
      <c r="K84" s="77">
        <v>1</v>
      </c>
      <c r="L84" s="77">
        <v>1.3</v>
      </c>
      <c r="M84" s="77">
        <v>1</v>
      </c>
      <c r="N84" s="77">
        <v>32</v>
      </c>
      <c r="O84" s="77">
        <v>25</v>
      </c>
      <c r="Q84" s="87"/>
      <c r="Z84" s="65"/>
      <c r="BC84" s="79"/>
      <c r="BE84" s="77"/>
      <c r="BG84" s="79"/>
      <c r="BI84" s="3"/>
      <c r="BJ84" s="3"/>
      <c r="BM84" s="84"/>
      <c r="BN84" s="74"/>
      <c r="BO84" s="74"/>
      <c r="BP84" s="74"/>
      <c r="BQ84" s="84"/>
      <c r="BR84" s="74"/>
      <c r="BS84" s="74"/>
      <c r="BT84" s="74"/>
    </row>
    <row r="85" spans="1:73">
      <c r="A85" s="66" t="str">
        <f t="shared" si="9"/>
        <v>L38</v>
      </c>
      <c r="B85" s="77" t="s">
        <v>20</v>
      </c>
      <c r="C85" s="76" t="str">
        <f t="shared" si="8"/>
        <v>L38-L42</v>
      </c>
      <c r="D85" s="76" t="s">
        <v>193</v>
      </c>
      <c r="E85" s="76" t="s">
        <v>267</v>
      </c>
      <c r="F85" s="1">
        <v>1</v>
      </c>
      <c r="G85" s="1">
        <v>1</v>
      </c>
      <c r="H85" s="1">
        <v>22</v>
      </c>
      <c r="I85" s="1">
        <v>25</v>
      </c>
      <c r="J85" s="1">
        <v>1</v>
      </c>
      <c r="K85" s="1">
        <v>1</v>
      </c>
      <c r="L85" s="1">
        <v>1.3</v>
      </c>
      <c r="M85" s="1">
        <v>1</v>
      </c>
      <c r="N85" s="1">
        <v>32</v>
      </c>
      <c r="O85" s="1">
        <v>25</v>
      </c>
      <c r="Q85" s="87"/>
      <c r="Z85" s="65"/>
      <c r="BC85" s="79"/>
      <c r="BE85" s="77"/>
      <c r="BG85" s="79"/>
      <c r="BI85" s="3"/>
      <c r="BJ85" s="3"/>
      <c r="BM85" s="84"/>
      <c r="BN85" s="74"/>
      <c r="BO85" s="74"/>
      <c r="BP85" s="74"/>
      <c r="BQ85" s="84"/>
      <c r="BR85" s="74"/>
      <c r="BS85" s="74"/>
      <c r="BT85" s="74"/>
    </row>
    <row r="86" spans="1:73">
      <c r="A86" s="66" t="str">
        <f t="shared" si="9"/>
        <v>L42</v>
      </c>
      <c r="B86" s="77" t="s">
        <v>21</v>
      </c>
      <c r="C86" s="76" t="str">
        <f t="shared" si="8"/>
        <v>L42-L46</v>
      </c>
      <c r="D86" s="76" t="s">
        <v>193</v>
      </c>
      <c r="E86" s="76" t="s">
        <v>267</v>
      </c>
      <c r="F86" s="1">
        <v>1</v>
      </c>
      <c r="G86" s="1">
        <v>1</v>
      </c>
      <c r="H86" s="1">
        <v>26</v>
      </c>
      <c r="I86" s="1">
        <v>25</v>
      </c>
      <c r="J86" s="1">
        <v>1</v>
      </c>
      <c r="K86" s="1">
        <v>1</v>
      </c>
      <c r="L86" s="1">
        <v>1.3</v>
      </c>
      <c r="M86" s="1">
        <v>1</v>
      </c>
      <c r="N86" s="1">
        <v>32</v>
      </c>
      <c r="O86" s="1">
        <v>25</v>
      </c>
      <c r="Q86" s="87"/>
      <c r="Z86" s="65"/>
      <c r="BC86" s="79"/>
      <c r="BE86" s="77"/>
      <c r="BG86" s="79"/>
      <c r="BI86" s="3"/>
      <c r="BJ86" s="3"/>
      <c r="BM86" s="84"/>
      <c r="BN86" s="74"/>
      <c r="BO86" s="74"/>
      <c r="BP86" s="74"/>
      <c r="BQ86" s="84"/>
      <c r="BR86" s="74"/>
      <c r="BS86" s="74"/>
      <c r="BT86" s="74"/>
    </row>
    <row r="87" spans="1:73">
      <c r="A87" s="66" t="str">
        <f t="shared" si="9"/>
        <v>L46</v>
      </c>
      <c r="B87" s="77" t="s">
        <v>22</v>
      </c>
      <c r="C87" s="76" t="str">
        <f t="shared" si="8"/>
        <v>L46-L50</v>
      </c>
      <c r="D87" s="76" t="s">
        <v>193</v>
      </c>
      <c r="E87" s="76" t="s">
        <v>267</v>
      </c>
      <c r="F87" s="77">
        <v>1</v>
      </c>
      <c r="G87" s="77">
        <v>1</v>
      </c>
      <c r="H87" s="77">
        <v>26</v>
      </c>
      <c r="I87" s="77">
        <v>25</v>
      </c>
      <c r="J87" s="77">
        <v>1</v>
      </c>
      <c r="K87" s="77">
        <v>1</v>
      </c>
      <c r="L87" s="77">
        <v>1.3</v>
      </c>
      <c r="M87" s="77">
        <v>1</v>
      </c>
      <c r="N87" s="77">
        <v>32</v>
      </c>
      <c r="O87" s="77">
        <v>25</v>
      </c>
      <c r="Q87" s="87"/>
      <c r="Z87" s="65"/>
      <c r="BC87" s="79"/>
      <c r="BE87" s="77"/>
      <c r="BG87" s="79"/>
      <c r="BI87" s="3"/>
      <c r="BJ87" s="3"/>
      <c r="BM87" s="84"/>
      <c r="BN87" s="74"/>
      <c r="BO87" s="74"/>
      <c r="BP87" s="74"/>
      <c r="BQ87" s="84"/>
      <c r="BR87" s="74"/>
      <c r="BS87" s="74"/>
      <c r="BT87" s="74"/>
    </row>
    <row r="88" spans="1:73">
      <c r="A88" s="66" t="str">
        <f t="shared" si="9"/>
        <v>L50</v>
      </c>
      <c r="B88" s="77" t="s">
        <v>23</v>
      </c>
      <c r="C88" s="76" t="str">
        <f t="shared" si="8"/>
        <v>L50-ROOF OVER MCRM</v>
      </c>
      <c r="D88" s="76" t="s">
        <v>193</v>
      </c>
      <c r="E88" s="76" t="s">
        <v>267</v>
      </c>
      <c r="F88" s="77">
        <v>1</v>
      </c>
      <c r="G88" s="77">
        <v>1</v>
      </c>
      <c r="H88" s="77">
        <v>26</v>
      </c>
      <c r="I88" s="77">
        <v>25</v>
      </c>
      <c r="J88" s="77">
        <v>1</v>
      </c>
      <c r="K88" s="77">
        <v>1</v>
      </c>
      <c r="L88" s="77">
        <v>1.3</v>
      </c>
      <c r="M88" s="77">
        <v>1</v>
      </c>
      <c r="N88" s="77">
        <v>32</v>
      </c>
      <c r="O88" s="77">
        <v>25</v>
      </c>
      <c r="Q88" s="87"/>
      <c r="Z88" s="65"/>
      <c r="BC88" s="79"/>
      <c r="BE88" s="77"/>
      <c r="BG88" s="79"/>
      <c r="BI88" s="3"/>
      <c r="BJ88" s="3"/>
      <c r="BM88" s="84"/>
      <c r="BN88" s="74"/>
      <c r="BO88" s="74"/>
      <c r="BP88" s="74"/>
      <c r="BQ88" s="84"/>
      <c r="BR88" s="74"/>
      <c r="BS88" s="74"/>
      <c r="BT88" s="74"/>
    </row>
    <row r="89" spans="1:73" s="77" customFormat="1">
      <c r="A89" s="66" t="s">
        <v>7</v>
      </c>
      <c r="B89" s="77" t="s">
        <v>8</v>
      </c>
      <c r="C89" s="76" t="str">
        <f>CONCATENATE(A89,"-",B89)</f>
        <v>FND-B1</v>
      </c>
      <c r="D89" s="76" t="s">
        <v>194</v>
      </c>
      <c r="E89" s="76" t="s">
        <v>267</v>
      </c>
      <c r="F89" s="77">
        <v>2.75</v>
      </c>
      <c r="G89" s="77">
        <v>1</v>
      </c>
      <c r="H89" s="77">
        <v>64</v>
      </c>
      <c r="I89" s="77">
        <v>32</v>
      </c>
      <c r="J89" s="77">
        <v>6.8</v>
      </c>
      <c r="K89" s="77">
        <v>1</v>
      </c>
      <c r="L89" s="77">
        <v>2.75</v>
      </c>
      <c r="M89" s="77">
        <v>1</v>
      </c>
      <c r="N89" s="77">
        <v>64</v>
      </c>
      <c r="O89" s="77">
        <v>32</v>
      </c>
      <c r="Q89" s="87"/>
      <c r="Z89" s="65"/>
      <c r="BA89" s="75"/>
      <c r="BB89" s="3"/>
      <c r="BC89" s="79"/>
      <c r="BG89" s="79"/>
      <c r="BI89" s="3"/>
      <c r="BJ89" s="3"/>
      <c r="BM89" s="84"/>
      <c r="BN89" s="74"/>
      <c r="BO89" s="74"/>
      <c r="BP89" s="74"/>
      <c r="BQ89" s="84"/>
      <c r="BR89" s="74"/>
      <c r="BS89" s="74"/>
      <c r="BT89" s="74"/>
      <c r="BU89" s="83"/>
    </row>
    <row r="90" spans="1:73" s="77" customFormat="1">
      <c r="A90" s="66" t="str">
        <f>B89</f>
        <v>B1</v>
      </c>
      <c r="B90" s="77" t="s">
        <v>9</v>
      </c>
      <c r="C90" s="76" t="str">
        <f t="shared" ref="C90:C104" si="10">CONCATENATE(A90,"-",B90)</f>
        <v>B1-LG</v>
      </c>
      <c r="D90" s="76" t="s">
        <v>194</v>
      </c>
      <c r="E90" s="76" t="s">
        <v>267</v>
      </c>
      <c r="F90" s="77">
        <v>2.75</v>
      </c>
      <c r="G90" s="77">
        <v>1</v>
      </c>
      <c r="H90" s="77">
        <v>64</v>
      </c>
      <c r="I90" s="77">
        <v>32</v>
      </c>
      <c r="J90" s="77">
        <v>6.8</v>
      </c>
      <c r="K90" s="77">
        <v>1</v>
      </c>
      <c r="L90" s="77">
        <v>2.75</v>
      </c>
      <c r="M90" s="77">
        <v>1</v>
      </c>
      <c r="N90" s="77">
        <v>64</v>
      </c>
      <c r="O90" s="77">
        <v>32</v>
      </c>
      <c r="Q90" s="87"/>
      <c r="Z90" s="65"/>
      <c r="BA90" s="75"/>
      <c r="BB90" s="3"/>
      <c r="BC90" s="79"/>
      <c r="BG90" s="79"/>
      <c r="BI90" s="3"/>
      <c r="BJ90" s="3"/>
      <c r="BM90" s="84"/>
      <c r="BN90" s="74"/>
      <c r="BO90" s="74"/>
      <c r="BP90" s="74"/>
      <c r="BQ90" s="84"/>
      <c r="BR90" s="74"/>
      <c r="BS90" s="74"/>
      <c r="BT90" s="74"/>
      <c r="BU90" s="83"/>
    </row>
    <row r="91" spans="1:73" s="77" customFormat="1">
      <c r="A91" s="66" t="str">
        <f t="shared" ref="A91:A104" si="11">B90</f>
        <v>LG</v>
      </c>
      <c r="B91" s="77" t="s">
        <v>10</v>
      </c>
      <c r="C91" s="76" t="str">
        <f t="shared" si="10"/>
        <v>LG-L1</v>
      </c>
      <c r="D91" s="76" t="s">
        <v>194</v>
      </c>
      <c r="E91" s="76" t="s">
        <v>267</v>
      </c>
      <c r="F91" s="77">
        <v>2.2000000000000002</v>
      </c>
      <c r="G91" s="77">
        <v>1</v>
      </c>
      <c r="H91" s="77">
        <v>57</v>
      </c>
      <c r="I91" s="77">
        <v>32</v>
      </c>
      <c r="J91" s="77">
        <v>7.9</v>
      </c>
      <c r="K91" s="77">
        <v>1</v>
      </c>
      <c r="L91" s="77">
        <v>2.2000000000000002</v>
      </c>
      <c r="M91" s="77">
        <v>1</v>
      </c>
      <c r="N91" s="77">
        <v>57</v>
      </c>
      <c r="O91" s="77">
        <v>32</v>
      </c>
      <c r="Q91" s="87"/>
      <c r="Z91" s="65"/>
      <c r="BA91" s="75"/>
      <c r="BB91" s="3"/>
      <c r="BC91" s="79"/>
      <c r="BG91" s="79"/>
      <c r="BI91" s="3"/>
      <c r="BJ91" s="3"/>
      <c r="BM91" s="84"/>
      <c r="BN91" s="74"/>
      <c r="BO91" s="74"/>
      <c r="BP91" s="74"/>
      <c r="BQ91" s="84"/>
      <c r="BR91" s="74"/>
      <c r="BS91" s="74"/>
      <c r="BT91" s="74"/>
      <c r="BU91" s="83"/>
    </row>
    <row r="92" spans="1:73" s="77" customFormat="1">
      <c r="A92" s="66" t="str">
        <f t="shared" si="11"/>
        <v>L1</v>
      </c>
      <c r="B92" s="77" t="s">
        <v>11</v>
      </c>
      <c r="C92" s="76" t="str">
        <f t="shared" si="10"/>
        <v>L1-L5</v>
      </c>
      <c r="D92" s="76" t="s">
        <v>194</v>
      </c>
      <c r="E92" s="76" t="s">
        <v>267</v>
      </c>
      <c r="F92" s="77">
        <v>2.2000000000000002</v>
      </c>
      <c r="G92" s="77">
        <v>1</v>
      </c>
      <c r="H92" s="77">
        <v>57</v>
      </c>
      <c r="I92" s="77">
        <v>32</v>
      </c>
      <c r="J92" s="77">
        <v>7.9</v>
      </c>
      <c r="K92" s="77">
        <v>1</v>
      </c>
      <c r="L92" s="77">
        <v>2.2000000000000002</v>
      </c>
      <c r="M92" s="77">
        <v>1</v>
      </c>
      <c r="N92" s="77">
        <v>57</v>
      </c>
      <c r="O92" s="77">
        <v>32</v>
      </c>
      <c r="Q92" s="87"/>
      <c r="Z92" s="65"/>
      <c r="BA92" s="75"/>
      <c r="BB92" s="3"/>
      <c r="BC92" s="79"/>
      <c r="BG92" s="79"/>
      <c r="BI92" s="3"/>
      <c r="BJ92" s="3"/>
      <c r="BM92" s="84"/>
      <c r="BN92" s="74"/>
      <c r="BO92" s="74"/>
      <c r="BP92" s="74"/>
      <c r="BQ92" s="84"/>
      <c r="BR92" s="74"/>
      <c r="BS92" s="74"/>
      <c r="BT92" s="74"/>
      <c r="BU92" s="83"/>
    </row>
    <row r="93" spans="1:73" s="77" customFormat="1">
      <c r="A93" s="66" t="str">
        <f t="shared" si="11"/>
        <v>L5</v>
      </c>
      <c r="B93" s="77" t="s">
        <v>12</v>
      </c>
      <c r="C93" s="76" t="str">
        <f t="shared" si="10"/>
        <v>L5-L9</v>
      </c>
      <c r="D93" s="76" t="s">
        <v>194</v>
      </c>
      <c r="E93" s="76" t="s">
        <v>267</v>
      </c>
      <c r="F93" s="77">
        <v>2</v>
      </c>
      <c r="G93" s="77">
        <v>1</v>
      </c>
      <c r="H93" s="77">
        <v>54</v>
      </c>
      <c r="I93" s="77">
        <v>32</v>
      </c>
      <c r="J93" s="77">
        <v>8.3000000000000007</v>
      </c>
      <c r="K93" s="77">
        <v>1</v>
      </c>
      <c r="L93" s="77">
        <v>2</v>
      </c>
      <c r="M93" s="77">
        <v>1</v>
      </c>
      <c r="N93" s="77">
        <v>54</v>
      </c>
      <c r="O93" s="77">
        <v>32</v>
      </c>
      <c r="Q93" s="87"/>
      <c r="Z93" s="65"/>
      <c r="BA93" s="75"/>
      <c r="BB93" s="3"/>
      <c r="BC93" s="79"/>
      <c r="BG93" s="79"/>
      <c r="BI93" s="3"/>
      <c r="BJ93" s="3"/>
      <c r="BM93" s="84"/>
      <c r="BN93" s="74"/>
      <c r="BO93" s="74"/>
      <c r="BP93" s="74"/>
      <c r="BQ93" s="84"/>
      <c r="BR93" s="74"/>
      <c r="BS93" s="74"/>
      <c r="BT93" s="74"/>
      <c r="BU93" s="83"/>
    </row>
    <row r="94" spans="1:73" s="77" customFormat="1">
      <c r="A94" s="66" t="str">
        <f t="shared" si="11"/>
        <v>L9</v>
      </c>
      <c r="B94" s="77" t="s">
        <v>13</v>
      </c>
      <c r="C94" s="76" t="str">
        <f t="shared" si="10"/>
        <v>L9-L13</v>
      </c>
      <c r="D94" s="76" t="s">
        <v>194</v>
      </c>
      <c r="E94" s="76" t="s">
        <v>267</v>
      </c>
      <c r="F94" s="77">
        <v>1.3</v>
      </c>
      <c r="G94" s="77">
        <v>1</v>
      </c>
      <c r="H94" s="77">
        <v>62</v>
      </c>
      <c r="I94" s="77">
        <v>28</v>
      </c>
      <c r="J94" s="77">
        <v>9.6999999999999993</v>
      </c>
      <c r="K94" s="77">
        <v>1</v>
      </c>
      <c r="L94" s="77">
        <v>1.3</v>
      </c>
      <c r="M94" s="77">
        <v>1</v>
      </c>
      <c r="N94" s="77">
        <v>61</v>
      </c>
      <c r="O94" s="77">
        <v>28</v>
      </c>
      <c r="Q94" s="87"/>
      <c r="Z94" s="65"/>
      <c r="BA94" s="75"/>
      <c r="BB94" s="3"/>
      <c r="BC94" s="79"/>
      <c r="BG94" s="79"/>
      <c r="BI94" s="3"/>
      <c r="BJ94" s="3"/>
      <c r="BM94" s="84"/>
      <c r="BN94" s="74"/>
      <c r="BO94" s="74"/>
      <c r="BP94" s="74"/>
      <c r="BQ94" s="84"/>
      <c r="BR94" s="74"/>
      <c r="BS94" s="74"/>
      <c r="BT94" s="74"/>
      <c r="BU94" s="83"/>
    </row>
    <row r="95" spans="1:73" s="77" customFormat="1">
      <c r="A95" s="66" t="str">
        <f t="shared" si="11"/>
        <v>L13</v>
      </c>
      <c r="B95" s="77" t="s">
        <v>14</v>
      </c>
      <c r="C95" s="76" t="str">
        <f t="shared" si="10"/>
        <v>L13-L17</v>
      </c>
      <c r="D95" s="76" t="s">
        <v>194</v>
      </c>
      <c r="E95" s="76" t="s">
        <v>267</v>
      </c>
      <c r="F95" s="77">
        <v>1.3</v>
      </c>
      <c r="G95" s="77">
        <v>1</v>
      </c>
      <c r="H95" s="77">
        <v>62</v>
      </c>
      <c r="I95" s="77">
        <v>28</v>
      </c>
      <c r="J95" s="77">
        <v>9.6999999999999993</v>
      </c>
      <c r="K95" s="77">
        <v>1</v>
      </c>
      <c r="L95" s="77">
        <v>1.3</v>
      </c>
      <c r="M95" s="77">
        <v>1</v>
      </c>
      <c r="N95" s="77">
        <v>62</v>
      </c>
      <c r="O95" s="77">
        <v>28</v>
      </c>
      <c r="Q95" s="87"/>
      <c r="Z95" s="65"/>
      <c r="BA95" s="75"/>
      <c r="BB95" s="3"/>
      <c r="BC95" s="79"/>
      <c r="BG95" s="79"/>
      <c r="BI95" s="3"/>
      <c r="BJ95" s="3"/>
      <c r="BM95" s="84"/>
      <c r="BN95" s="74"/>
      <c r="BO95" s="74"/>
      <c r="BP95" s="74"/>
      <c r="BQ95" s="84"/>
      <c r="BR95" s="74"/>
      <c r="BS95" s="74"/>
      <c r="BT95" s="74"/>
      <c r="BU95" s="83"/>
    </row>
    <row r="96" spans="1:73" s="77" customFormat="1">
      <c r="A96" s="66" t="str">
        <f t="shared" si="11"/>
        <v>L17</v>
      </c>
      <c r="B96" s="77" t="s">
        <v>15</v>
      </c>
      <c r="C96" s="76" t="str">
        <f t="shared" si="10"/>
        <v>L17-L21</v>
      </c>
      <c r="D96" s="76" t="s">
        <v>194</v>
      </c>
      <c r="E96" s="76" t="s">
        <v>267</v>
      </c>
      <c r="F96" s="77">
        <v>1.3</v>
      </c>
      <c r="G96" s="77">
        <v>1</v>
      </c>
      <c r="H96" s="77">
        <v>62</v>
      </c>
      <c r="I96" s="77">
        <v>28</v>
      </c>
      <c r="J96" s="77">
        <v>9.6999999999999993</v>
      </c>
      <c r="K96" s="77">
        <v>1</v>
      </c>
      <c r="L96" s="77">
        <v>1.3</v>
      </c>
      <c r="M96" s="77">
        <v>1</v>
      </c>
      <c r="N96" s="77">
        <v>61</v>
      </c>
      <c r="O96" s="77">
        <v>28</v>
      </c>
      <c r="Q96" s="87"/>
      <c r="Z96" s="65"/>
      <c r="BA96" s="75"/>
      <c r="BB96" s="3"/>
      <c r="BC96" s="79"/>
      <c r="BG96" s="79"/>
      <c r="BI96" s="3"/>
      <c r="BJ96" s="3"/>
      <c r="BM96" s="84"/>
      <c r="BN96" s="74"/>
      <c r="BO96" s="74"/>
      <c r="BP96" s="74"/>
      <c r="BQ96" s="84"/>
      <c r="BR96" s="74"/>
      <c r="BS96" s="74"/>
      <c r="BT96" s="74"/>
      <c r="BU96" s="83"/>
    </row>
    <row r="97" spans="1:73" s="77" customFormat="1">
      <c r="A97" s="66" t="str">
        <f t="shared" si="11"/>
        <v>L21</v>
      </c>
      <c r="B97" s="77" t="s">
        <v>16</v>
      </c>
      <c r="C97" s="76" t="str">
        <f t="shared" si="10"/>
        <v>L21-L25</v>
      </c>
      <c r="D97" s="76" t="s">
        <v>194</v>
      </c>
      <c r="E97" s="76" t="s">
        <v>267</v>
      </c>
      <c r="F97" s="77">
        <v>1.3</v>
      </c>
      <c r="G97" s="77">
        <v>1</v>
      </c>
      <c r="H97" s="77">
        <v>62</v>
      </c>
      <c r="I97" s="77">
        <v>28</v>
      </c>
      <c r="J97" s="77">
        <v>9.6999999999999993</v>
      </c>
      <c r="K97" s="77">
        <v>1</v>
      </c>
      <c r="L97" s="77">
        <v>1.3</v>
      </c>
      <c r="M97" s="77">
        <v>1</v>
      </c>
      <c r="N97" s="77">
        <v>61</v>
      </c>
      <c r="O97" s="77">
        <v>28</v>
      </c>
      <c r="Q97" s="87"/>
      <c r="Z97" s="65"/>
      <c r="BA97" s="75"/>
      <c r="BB97" s="3"/>
      <c r="BC97" s="79"/>
      <c r="BG97" s="79"/>
      <c r="BI97" s="3"/>
      <c r="BJ97" s="3"/>
      <c r="BM97" s="84"/>
      <c r="BN97" s="74"/>
      <c r="BO97" s="74"/>
      <c r="BP97" s="74"/>
      <c r="BQ97" s="84"/>
      <c r="BR97" s="74"/>
      <c r="BS97" s="74"/>
      <c r="BT97" s="74"/>
      <c r="BU97" s="83"/>
    </row>
    <row r="98" spans="1:73" s="77" customFormat="1">
      <c r="A98" s="66" t="str">
        <f t="shared" si="11"/>
        <v>L25</v>
      </c>
      <c r="B98" s="77" t="s">
        <v>17</v>
      </c>
      <c r="C98" s="76" t="str">
        <f t="shared" si="10"/>
        <v>L25-L30</v>
      </c>
      <c r="D98" s="76" t="s">
        <v>194</v>
      </c>
      <c r="E98" s="76" t="s">
        <v>267</v>
      </c>
      <c r="F98" s="77">
        <v>1.3</v>
      </c>
      <c r="G98" s="77">
        <v>1</v>
      </c>
      <c r="H98" s="77">
        <v>62</v>
      </c>
      <c r="I98" s="77">
        <v>28</v>
      </c>
      <c r="J98" s="77">
        <v>9.6999999999999993</v>
      </c>
      <c r="K98" s="77">
        <v>1</v>
      </c>
      <c r="L98" s="77">
        <v>1.3</v>
      </c>
      <c r="M98" s="77">
        <v>1</v>
      </c>
      <c r="N98" s="77">
        <v>61</v>
      </c>
      <c r="O98" s="77">
        <v>28</v>
      </c>
      <c r="Q98" s="87"/>
      <c r="Z98" s="65"/>
      <c r="BA98" s="75"/>
      <c r="BB98" s="3"/>
      <c r="BC98" s="79"/>
      <c r="BG98" s="79"/>
      <c r="BI98" s="3"/>
      <c r="BJ98" s="3"/>
      <c r="BM98" s="84"/>
      <c r="BN98" s="74"/>
      <c r="BO98" s="74"/>
      <c r="BP98" s="74"/>
      <c r="BQ98" s="84"/>
      <c r="BR98" s="74"/>
      <c r="BS98" s="74"/>
      <c r="BT98" s="74"/>
      <c r="BU98" s="83"/>
    </row>
    <row r="99" spans="1:73" s="77" customFormat="1">
      <c r="A99" s="66" t="str">
        <f t="shared" si="11"/>
        <v>L30</v>
      </c>
      <c r="B99" s="77" t="s">
        <v>18</v>
      </c>
      <c r="C99" s="76" t="str">
        <f t="shared" si="10"/>
        <v>L30-L34</v>
      </c>
      <c r="D99" s="76" t="s">
        <v>194</v>
      </c>
      <c r="E99" s="76" t="s">
        <v>267</v>
      </c>
      <c r="F99" s="77">
        <v>1.3</v>
      </c>
      <c r="G99" s="77">
        <v>1</v>
      </c>
      <c r="H99" s="77">
        <v>36</v>
      </c>
      <c r="I99" s="77">
        <v>25</v>
      </c>
      <c r="J99" s="77">
        <v>9.6999999999999993</v>
      </c>
      <c r="K99" s="77">
        <v>1</v>
      </c>
      <c r="L99" s="77">
        <v>1.3</v>
      </c>
      <c r="M99" s="77">
        <v>1</v>
      </c>
      <c r="N99" s="77">
        <v>36</v>
      </c>
      <c r="O99" s="77">
        <v>25</v>
      </c>
      <c r="Q99" s="87"/>
      <c r="Z99" s="65"/>
      <c r="BA99" s="75"/>
      <c r="BB99" s="3"/>
      <c r="BC99" s="79"/>
      <c r="BG99" s="79"/>
      <c r="BI99" s="3"/>
      <c r="BJ99" s="3"/>
      <c r="BM99" s="84"/>
      <c r="BN99" s="74"/>
      <c r="BO99" s="74"/>
      <c r="BP99" s="74"/>
      <c r="BQ99" s="84"/>
      <c r="BR99" s="74"/>
      <c r="BS99" s="74"/>
      <c r="BT99" s="74"/>
      <c r="BU99" s="83"/>
    </row>
    <row r="100" spans="1:73" s="77" customFormat="1">
      <c r="A100" s="66" t="str">
        <f t="shared" si="11"/>
        <v>L34</v>
      </c>
      <c r="B100" s="77" t="s">
        <v>19</v>
      </c>
      <c r="C100" s="76" t="str">
        <f t="shared" si="10"/>
        <v>L34-L38</v>
      </c>
      <c r="D100" s="76" t="s">
        <v>194</v>
      </c>
      <c r="E100" s="76" t="s">
        <v>267</v>
      </c>
      <c r="F100" s="77">
        <v>1.3</v>
      </c>
      <c r="G100" s="77">
        <v>1</v>
      </c>
      <c r="H100" s="77">
        <v>32</v>
      </c>
      <c r="I100" s="77">
        <v>25</v>
      </c>
      <c r="J100" s="77">
        <v>9.6999999999999993</v>
      </c>
      <c r="K100" s="77">
        <v>1</v>
      </c>
      <c r="L100" s="77">
        <v>1.3</v>
      </c>
      <c r="M100" s="77">
        <v>1</v>
      </c>
      <c r="N100" s="77">
        <v>32</v>
      </c>
      <c r="O100" s="77">
        <v>25</v>
      </c>
      <c r="Q100" s="87"/>
      <c r="Z100" s="65"/>
      <c r="BA100" s="75"/>
      <c r="BB100" s="3"/>
      <c r="BC100" s="79"/>
      <c r="BG100" s="79"/>
      <c r="BI100" s="3"/>
      <c r="BJ100" s="3"/>
      <c r="BM100" s="84"/>
      <c r="BN100" s="74"/>
      <c r="BO100" s="74"/>
      <c r="BP100" s="74"/>
      <c r="BQ100" s="84"/>
      <c r="BR100" s="74"/>
      <c r="BS100" s="74"/>
      <c r="BT100" s="74"/>
      <c r="BU100" s="83"/>
    </row>
    <row r="101" spans="1:73" s="77" customFormat="1">
      <c r="A101" s="66" t="str">
        <f t="shared" si="11"/>
        <v>L38</v>
      </c>
      <c r="B101" s="77" t="s">
        <v>20</v>
      </c>
      <c r="C101" s="76" t="str">
        <f t="shared" si="10"/>
        <v>L38-L42</v>
      </c>
      <c r="D101" s="76" t="s">
        <v>194</v>
      </c>
      <c r="E101" s="76" t="s">
        <v>267</v>
      </c>
      <c r="F101" s="77">
        <v>1.3</v>
      </c>
      <c r="G101" s="77">
        <v>1</v>
      </c>
      <c r="H101" s="77">
        <v>32</v>
      </c>
      <c r="I101" s="77">
        <v>25</v>
      </c>
      <c r="J101" s="77">
        <v>9.6999999999999993</v>
      </c>
      <c r="K101" s="77">
        <v>1</v>
      </c>
      <c r="L101" s="77">
        <v>1.3</v>
      </c>
      <c r="M101" s="77">
        <v>1</v>
      </c>
      <c r="N101" s="77">
        <v>32</v>
      </c>
      <c r="O101" s="77">
        <v>25</v>
      </c>
      <c r="Q101" s="87"/>
      <c r="Z101" s="65"/>
      <c r="BA101" s="75"/>
      <c r="BB101" s="3"/>
      <c r="BC101" s="79"/>
      <c r="BG101" s="79"/>
      <c r="BI101" s="3"/>
      <c r="BJ101" s="3"/>
      <c r="BM101" s="84"/>
      <c r="BN101" s="74"/>
      <c r="BO101" s="74"/>
      <c r="BP101" s="74"/>
      <c r="BQ101" s="84"/>
      <c r="BR101" s="74"/>
      <c r="BS101" s="74"/>
      <c r="BT101" s="74"/>
      <c r="BU101" s="83"/>
    </row>
    <row r="102" spans="1:73" s="77" customFormat="1">
      <c r="A102" s="66" t="str">
        <f t="shared" si="11"/>
        <v>L42</v>
      </c>
      <c r="B102" s="77" t="s">
        <v>21</v>
      </c>
      <c r="C102" s="76" t="str">
        <f t="shared" si="10"/>
        <v>L42-L46</v>
      </c>
      <c r="D102" s="76" t="s">
        <v>194</v>
      </c>
      <c r="E102" s="76" t="s">
        <v>267</v>
      </c>
      <c r="F102" s="77">
        <v>1.3</v>
      </c>
      <c r="G102" s="77">
        <v>1</v>
      </c>
      <c r="H102" s="77">
        <v>32</v>
      </c>
      <c r="I102" s="77">
        <v>25</v>
      </c>
      <c r="J102" s="77">
        <v>9.6999999999999993</v>
      </c>
      <c r="K102" s="77">
        <v>1</v>
      </c>
      <c r="L102" s="77">
        <v>1.3</v>
      </c>
      <c r="M102" s="77">
        <v>1</v>
      </c>
      <c r="N102" s="77">
        <v>32</v>
      </c>
      <c r="O102" s="77">
        <v>25</v>
      </c>
      <c r="Q102" s="87"/>
      <c r="Z102" s="65"/>
      <c r="BA102" s="75"/>
      <c r="BB102" s="3"/>
      <c r="BC102" s="79"/>
      <c r="BG102" s="79"/>
      <c r="BI102" s="3"/>
      <c r="BJ102" s="3"/>
      <c r="BM102" s="84"/>
      <c r="BN102" s="74"/>
      <c r="BO102" s="74"/>
      <c r="BP102" s="74"/>
      <c r="BQ102" s="84"/>
      <c r="BR102" s="74"/>
      <c r="BS102" s="74"/>
      <c r="BT102" s="74"/>
      <c r="BU102" s="83"/>
    </row>
    <row r="103" spans="1:73" s="77" customFormat="1">
      <c r="A103" s="66" t="str">
        <f t="shared" si="11"/>
        <v>L46</v>
      </c>
      <c r="B103" s="77" t="s">
        <v>22</v>
      </c>
      <c r="C103" s="76" t="str">
        <f t="shared" si="10"/>
        <v>L46-L50</v>
      </c>
      <c r="D103" s="76" t="s">
        <v>194</v>
      </c>
      <c r="E103" s="76" t="s">
        <v>267</v>
      </c>
      <c r="F103" s="77">
        <v>1.3</v>
      </c>
      <c r="G103" s="77">
        <v>1</v>
      </c>
      <c r="H103" s="77">
        <v>32</v>
      </c>
      <c r="I103" s="77">
        <v>25</v>
      </c>
      <c r="J103" s="77">
        <v>9.6999999999999993</v>
      </c>
      <c r="K103" s="77">
        <v>1</v>
      </c>
      <c r="L103" s="77">
        <v>1.3</v>
      </c>
      <c r="M103" s="77">
        <v>1</v>
      </c>
      <c r="N103" s="77">
        <v>32</v>
      </c>
      <c r="O103" s="77">
        <v>25</v>
      </c>
      <c r="Q103" s="87"/>
      <c r="Z103" s="65"/>
      <c r="BA103" s="75"/>
      <c r="BB103" s="3"/>
      <c r="BC103" s="79"/>
      <c r="BG103" s="79"/>
      <c r="BI103" s="3"/>
      <c r="BJ103" s="3"/>
      <c r="BM103" s="84"/>
      <c r="BN103" s="74"/>
      <c r="BO103" s="74"/>
      <c r="BP103" s="74"/>
      <c r="BQ103" s="84"/>
      <c r="BR103" s="74"/>
      <c r="BS103" s="74"/>
      <c r="BT103" s="74"/>
      <c r="BU103" s="83"/>
    </row>
    <row r="104" spans="1:73" s="77" customFormat="1">
      <c r="A104" s="66" t="str">
        <f t="shared" si="11"/>
        <v>L50</v>
      </c>
      <c r="B104" s="77" t="s">
        <v>23</v>
      </c>
      <c r="C104" s="76" t="str">
        <f t="shared" si="10"/>
        <v>L50-ROOF OVER MCRM</v>
      </c>
      <c r="D104" s="76" t="s">
        <v>194</v>
      </c>
      <c r="E104" s="76" t="s">
        <v>267</v>
      </c>
      <c r="F104" s="77">
        <v>1.3</v>
      </c>
      <c r="G104" s="77">
        <v>1</v>
      </c>
      <c r="H104" s="77">
        <v>32</v>
      </c>
      <c r="I104" s="77">
        <v>25</v>
      </c>
      <c r="J104" s="77">
        <v>9.6999999999999993</v>
      </c>
      <c r="K104" s="77">
        <v>1</v>
      </c>
      <c r="L104" s="77">
        <v>1.3</v>
      </c>
      <c r="M104" s="77">
        <v>1</v>
      </c>
      <c r="N104" s="77">
        <v>32</v>
      </c>
      <c r="O104" s="77">
        <v>25</v>
      </c>
      <c r="Q104" s="87"/>
      <c r="Z104" s="65"/>
      <c r="BA104" s="75"/>
      <c r="BB104" s="3"/>
      <c r="BC104" s="79"/>
      <c r="BG104" s="79"/>
      <c r="BI104" s="3"/>
      <c r="BJ104" s="3"/>
      <c r="BM104" s="84"/>
      <c r="BN104" s="74"/>
      <c r="BO104" s="74"/>
      <c r="BP104" s="74"/>
      <c r="BQ104" s="84"/>
      <c r="BR104" s="74"/>
      <c r="BS104" s="74"/>
      <c r="BT104" s="74"/>
      <c r="BU104" s="83"/>
    </row>
    <row r="105" spans="1:73" s="77" customFormat="1">
      <c r="A105" s="66" t="s">
        <v>7</v>
      </c>
      <c r="B105" s="77" t="s">
        <v>8</v>
      </c>
      <c r="C105" s="76" t="str">
        <f>CONCATENATE(A105,"-",B105)</f>
        <v>FND-B1</v>
      </c>
      <c r="D105" s="76" t="s">
        <v>195</v>
      </c>
      <c r="E105" s="76" t="s">
        <v>267</v>
      </c>
      <c r="F105" s="77" t="s">
        <v>26</v>
      </c>
      <c r="G105" s="77">
        <v>1</v>
      </c>
      <c r="H105" s="77">
        <v>64</v>
      </c>
      <c r="I105" s="77">
        <v>32</v>
      </c>
      <c r="J105" s="77">
        <v>3.3</v>
      </c>
      <c r="K105" s="77">
        <v>1</v>
      </c>
      <c r="Q105" s="87"/>
      <c r="Z105" s="65"/>
      <c r="BA105" s="75"/>
      <c r="BB105" s="3"/>
      <c r="BC105" s="79"/>
      <c r="BG105" s="79"/>
      <c r="BI105" s="3"/>
      <c r="BJ105" s="3"/>
      <c r="BM105" s="84"/>
      <c r="BN105" s="74"/>
      <c r="BO105" s="74"/>
      <c r="BP105" s="74"/>
      <c r="BQ105" s="84"/>
      <c r="BR105" s="74"/>
      <c r="BS105" s="74"/>
      <c r="BT105" s="74"/>
      <c r="BU105" s="83"/>
    </row>
    <row r="106" spans="1:73" s="77" customFormat="1">
      <c r="A106" s="66" t="str">
        <f>B105</f>
        <v>B1</v>
      </c>
      <c r="B106" s="77" t="s">
        <v>9</v>
      </c>
      <c r="C106" s="76" t="str">
        <f t="shared" ref="C106:C120" si="12">CONCATENATE(A106,"-",B106)</f>
        <v>B1-LG</v>
      </c>
      <c r="D106" s="76" t="s">
        <v>195</v>
      </c>
      <c r="E106" s="76" t="s">
        <v>267</v>
      </c>
      <c r="F106" s="77" t="s">
        <v>26</v>
      </c>
      <c r="G106" s="77">
        <v>1</v>
      </c>
      <c r="H106" s="77">
        <v>64</v>
      </c>
      <c r="I106" s="77">
        <v>32</v>
      </c>
      <c r="J106" s="77">
        <v>3.3</v>
      </c>
      <c r="K106" s="77">
        <v>1</v>
      </c>
      <c r="Q106" s="87"/>
      <c r="Z106" s="65"/>
      <c r="BA106" s="75"/>
      <c r="BB106" s="3"/>
      <c r="BC106" s="79"/>
      <c r="BG106" s="79"/>
      <c r="BI106" s="3"/>
      <c r="BJ106" s="3"/>
      <c r="BM106" s="84"/>
      <c r="BN106" s="74"/>
      <c r="BO106" s="74"/>
      <c r="BP106" s="74"/>
      <c r="BQ106" s="84"/>
      <c r="BR106" s="74"/>
      <c r="BS106" s="74"/>
      <c r="BT106" s="74"/>
      <c r="BU106" s="83"/>
    </row>
    <row r="107" spans="1:73" s="77" customFormat="1">
      <c r="A107" s="66" t="str">
        <f t="shared" ref="A107:A120" si="13">B106</f>
        <v>LG</v>
      </c>
      <c r="B107" s="77" t="s">
        <v>10</v>
      </c>
      <c r="C107" s="76" t="str">
        <f t="shared" si="12"/>
        <v>LG-L1</v>
      </c>
      <c r="D107" s="76" t="s">
        <v>195</v>
      </c>
      <c r="E107" s="76" t="s">
        <v>267</v>
      </c>
      <c r="F107" s="77" t="s">
        <v>26</v>
      </c>
      <c r="G107" s="77">
        <v>1</v>
      </c>
      <c r="H107" s="77">
        <v>57</v>
      </c>
      <c r="I107" s="77">
        <v>32</v>
      </c>
      <c r="J107" s="77">
        <v>3.3</v>
      </c>
      <c r="K107" s="77">
        <v>1</v>
      </c>
      <c r="Q107" s="87"/>
      <c r="Z107" s="65"/>
      <c r="BA107" s="75"/>
      <c r="BB107" s="3"/>
      <c r="BC107" s="79"/>
      <c r="BG107" s="79"/>
      <c r="BI107" s="3"/>
      <c r="BJ107" s="3"/>
      <c r="BM107" s="84"/>
      <c r="BN107" s="74"/>
      <c r="BO107" s="74"/>
      <c r="BP107" s="74"/>
      <c r="BQ107" s="84"/>
      <c r="BR107" s="74"/>
      <c r="BS107" s="74"/>
      <c r="BT107" s="74"/>
      <c r="BU107" s="83"/>
    </row>
    <row r="108" spans="1:73" s="77" customFormat="1">
      <c r="A108" s="66" t="str">
        <f t="shared" si="13"/>
        <v>L1</v>
      </c>
      <c r="B108" s="77" t="s">
        <v>11</v>
      </c>
      <c r="C108" s="76" t="str">
        <f t="shared" si="12"/>
        <v>L1-L5</v>
      </c>
      <c r="D108" s="76" t="s">
        <v>195</v>
      </c>
      <c r="E108" s="76" t="s">
        <v>267</v>
      </c>
      <c r="F108" s="77" t="s">
        <v>26</v>
      </c>
      <c r="G108" s="77">
        <v>1</v>
      </c>
      <c r="H108" s="77">
        <v>57</v>
      </c>
      <c r="I108" s="77">
        <v>32</v>
      </c>
      <c r="J108" s="77">
        <v>3.3</v>
      </c>
      <c r="K108" s="77">
        <v>1</v>
      </c>
      <c r="Q108" s="87"/>
      <c r="Z108" s="65"/>
      <c r="BA108" s="75"/>
      <c r="BB108" s="3"/>
      <c r="BC108" s="79"/>
      <c r="BG108" s="79"/>
      <c r="BI108" s="3"/>
      <c r="BJ108" s="3"/>
      <c r="BM108" s="84"/>
      <c r="BN108" s="74"/>
      <c r="BO108" s="74"/>
      <c r="BP108" s="74"/>
      <c r="BQ108" s="84"/>
      <c r="BR108" s="74"/>
      <c r="BS108" s="74"/>
      <c r="BT108" s="74"/>
      <c r="BU108" s="83"/>
    </row>
    <row r="109" spans="1:73" s="77" customFormat="1">
      <c r="A109" s="66" t="str">
        <f t="shared" si="13"/>
        <v>L5</v>
      </c>
      <c r="B109" s="77" t="s">
        <v>12</v>
      </c>
      <c r="C109" s="76" t="str">
        <f t="shared" si="12"/>
        <v>L5-L9</v>
      </c>
      <c r="D109" s="76" t="s">
        <v>195</v>
      </c>
      <c r="E109" s="76" t="s">
        <v>267</v>
      </c>
      <c r="F109" s="77" t="s">
        <v>26</v>
      </c>
      <c r="G109" s="77">
        <v>1</v>
      </c>
      <c r="H109" s="77">
        <v>54</v>
      </c>
      <c r="I109" s="77">
        <v>32</v>
      </c>
      <c r="J109" s="77">
        <v>3.3</v>
      </c>
      <c r="K109" s="77">
        <v>1</v>
      </c>
      <c r="Q109" s="87"/>
      <c r="Z109" s="65"/>
      <c r="BA109" s="75"/>
      <c r="BB109" s="3"/>
      <c r="BC109" s="79"/>
      <c r="BG109" s="79"/>
      <c r="BI109" s="3"/>
      <c r="BJ109" s="3"/>
      <c r="BM109" s="84"/>
      <c r="BN109" s="74"/>
      <c r="BO109" s="74"/>
      <c r="BP109" s="74"/>
      <c r="BQ109" s="84"/>
      <c r="BR109" s="74"/>
      <c r="BS109" s="74"/>
      <c r="BT109" s="74"/>
      <c r="BU109" s="83"/>
    </row>
    <row r="110" spans="1:73" s="77" customFormat="1">
      <c r="A110" s="66" t="str">
        <f t="shared" si="13"/>
        <v>L9</v>
      </c>
      <c r="B110" s="77" t="s">
        <v>13</v>
      </c>
      <c r="C110" s="76" t="str">
        <f t="shared" si="12"/>
        <v>L9-L13</v>
      </c>
      <c r="D110" s="76" t="s">
        <v>195</v>
      </c>
      <c r="E110" s="76" t="s">
        <v>267</v>
      </c>
      <c r="F110" s="77" t="s">
        <v>26</v>
      </c>
      <c r="G110" s="77">
        <v>1</v>
      </c>
      <c r="H110" s="77">
        <v>62</v>
      </c>
      <c r="I110" s="77">
        <v>28</v>
      </c>
      <c r="J110" s="77">
        <v>3.3</v>
      </c>
      <c r="K110" s="77">
        <v>1</v>
      </c>
      <c r="Q110" s="87"/>
      <c r="Z110" s="65"/>
      <c r="BA110" s="75"/>
      <c r="BB110" s="3"/>
      <c r="BC110" s="79"/>
      <c r="BG110" s="79"/>
      <c r="BI110" s="3"/>
      <c r="BJ110" s="3"/>
      <c r="BM110" s="84"/>
      <c r="BN110" s="74"/>
      <c r="BO110" s="74"/>
      <c r="BP110" s="74"/>
      <c r="BQ110" s="84"/>
      <c r="BR110" s="74"/>
      <c r="BS110" s="74"/>
      <c r="BT110" s="74"/>
      <c r="BU110" s="83"/>
    </row>
    <row r="111" spans="1:73" s="77" customFormat="1">
      <c r="A111" s="66" t="str">
        <f t="shared" si="13"/>
        <v>L13</v>
      </c>
      <c r="B111" s="77" t="s">
        <v>14</v>
      </c>
      <c r="C111" s="76" t="str">
        <f t="shared" si="12"/>
        <v>L13-L17</v>
      </c>
      <c r="D111" s="76" t="s">
        <v>195</v>
      </c>
      <c r="E111" s="76" t="s">
        <v>267</v>
      </c>
      <c r="F111" s="77" t="s">
        <v>26</v>
      </c>
      <c r="G111" s="77">
        <v>1</v>
      </c>
      <c r="H111" s="77">
        <v>62</v>
      </c>
      <c r="I111" s="77">
        <v>28</v>
      </c>
      <c r="J111" s="77">
        <v>3.3</v>
      </c>
      <c r="K111" s="77">
        <v>1</v>
      </c>
      <c r="Q111" s="87"/>
      <c r="Z111" s="65"/>
      <c r="BA111" s="75"/>
      <c r="BB111" s="3"/>
      <c r="BC111" s="79"/>
      <c r="BG111" s="79"/>
      <c r="BI111" s="3"/>
      <c r="BJ111" s="3"/>
      <c r="BM111" s="84"/>
      <c r="BN111" s="74"/>
      <c r="BO111" s="74"/>
      <c r="BP111" s="74"/>
      <c r="BQ111" s="84"/>
      <c r="BR111" s="74"/>
      <c r="BS111" s="74"/>
      <c r="BT111" s="74"/>
      <c r="BU111" s="83"/>
    </row>
    <row r="112" spans="1:73" s="77" customFormat="1">
      <c r="A112" s="66" t="str">
        <f t="shared" si="13"/>
        <v>L17</v>
      </c>
      <c r="B112" s="77" t="s">
        <v>15</v>
      </c>
      <c r="C112" s="76" t="str">
        <f t="shared" si="12"/>
        <v>L17-L21</v>
      </c>
      <c r="D112" s="76" t="s">
        <v>195</v>
      </c>
      <c r="E112" s="76" t="s">
        <v>267</v>
      </c>
      <c r="F112" s="77" t="s">
        <v>26</v>
      </c>
      <c r="G112" s="77">
        <v>1</v>
      </c>
      <c r="H112" s="77">
        <v>62</v>
      </c>
      <c r="I112" s="77">
        <v>28</v>
      </c>
      <c r="J112" s="77">
        <v>3.3</v>
      </c>
      <c r="K112" s="77">
        <v>1</v>
      </c>
      <c r="Q112" s="87"/>
      <c r="Z112" s="65"/>
      <c r="BA112" s="75"/>
      <c r="BB112" s="3"/>
      <c r="BC112" s="79"/>
      <c r="BG112" s="79"/>
      <c r="BI112" s="3"/>
      <c r="BJ112" s="3"/>
      <c r="BM112" s="84"/>
      <c r="BN112" s="74"/>
      <c r="BO112" s="74"/>
      <c r="BP112" s="74"/>
      <c r="BQ112" s="84"/>
      <c r="BR112" s="74"/>
      <c r="BS112" s="74"/>
      <c r="BT112" s="74"/>
      <c r="BU112" s="83"/>
    </row>
    <row r="113" spans="1:73" s="77" customFormat="1">
      <c r="A113" s="66" t="str">
        <f t="shared" si="13"/>
        <v>L21</v>
      </c>
      <c r="B113" s="77" t="s">
        <v>16</v>
      </c>
      <c r="C113" s="76" t="str">
        <f t="shared" si="12"/>
        <v>L21-L25</v>
      </c>
      <c r="D113" s="76" t="s">
        <v>195</v>
      </c>
      <c r="E113" s="76" t="s">
        <v>267</v>
      </c>
      <c r="F113" s="77" t="s">
        <v>26</v>
      </c>
      <c r="G113" s="77">
        <v>1</v>
      </c>
      <c r="H113" s="77">
        <v>62</v>
      </c>
      <c r="I113" s="77">
        <v>28</v>
      </c>
      <c r="J113" s="77">
        <v>3.3</v>
      </c>
      <c r="K113" s="77">
        <v>1</v>
      </c>
      <c r="Q113" s="87"/>
      <c r="Z113" s="65"/>
      <c r="BA113" s="75"/>
      <c r="BB113" s="3"/>
      <c r="BC113" s="79"/>
      <c r="BG113" s="79"/>
      <c r="BI113" s="3"/>
      <c r="BJ113" s="3"/>
      <c r="BM113" s="84"/>
      <c r="BN113" s="74"/>
      <c r="BO113" s="74"/>
      <c r="BP113" s="74"/>
      <c r="BQ113" s="84"/>
      <c r="BR113" s="74"/>
      <c r="BS113" s="74"/>
      <c r="BT113" s="74"/>
      <c r="BU113" s="83"/>
    </row>
    <row r="114" spans="1:73" s="77" customFormat="1">
      <c r="A114" s="66" t="str">
        <f t="shared" si="13"/>
        <v>L25</v>
      </c>
      <c r="B114" s="77" t="s">
        <v>17</v>
      </c>
      <c r="C114" s="76" t="str">
        <f t="shared" si="12"/>
        <v>L25-L30</v>
      </c>
      <c r="D114" s="76" t="s">
        <v>195</v>
      </c>
      <c r="E114" s="76" t="s">
        <v>267</v>
      </c>
      <c r="F114" s="77" t="s">
        <v>26</v>
      </c>
      <c r="G114" s="77">
        <v>1</v>
      </c>
      <c r="H114" s="77">
        <v>62</v>
      </c>
      <c r="I114" s="77">
        <v>28</v>
      </c>
      <c r="J114" s="77">
        <v>3.3</v>
      </c>
      <c r="K114" s="77">
        <v>1</v>
      </c>
      <c r="Q114" s="87"/>
      <c r="Z114" s="65"/>
      <c r="BA114" s="75"/>
      <c r="BB114" s="3"/>
      <c r="BC114" s="79"/>
      <c r="BG114" s="79"/>
      <c r="BI114" s="3"/>
      <c r="BJ114" s="3"/>
      <c r="BM114" s="84"/>
      <c r="BN114" s="74"/>
      <c r="BO114" s="74"/>
      <c r="BP114" s="74"/>
      <c r="BQ114" s="84"/>
      <c r="BR114" s="74"/>
      <c r="BS114" s="74"/>
      <c r="BT114" s="74"/>
      <c r="BU114" s="83"/>
    </row>
    <row r="115" spans="1:73" s="77" customFormat="1">
      <c r="A115" s="66" t="str">
        <f t="shared" si="13"/>
        <v>L30</v>
      </c>
      <c r="B115" s="77" t="s">
        <v>18</v>
      </c>
      <c r="C115" s="76" t="str">
        <f t="shared" si="12"/>
        <v>L30-L34</v>
      </c>
      <c r="D115" s="76" t="s">
        <v>195</v>
      </c>
      <c r="E115" s="76" t="s">
        <v>267</v>
      </c>
      <c r="F115" s="77">
        <v>1.2</v>
      </c>
      <c r="G115" s="77">
        <v>1</v>
      </c>
      <c r="H115" s="77">
        <v>36</v>
      </c>
      <c r="I115" s="77">
        <v>25</v>
      </c>
      <c r="J115" s="77">
        <v>0.8</v>
      </c>
      <c r="K115" s="77">
        <v>1</v>
      </c>
      <c r="L115" s="77">
        <v>1.3</v>
      </c>
      <c r="M115" s="77">
        <v>1</v>
      </c>
      <c r="N115" s="77">
        <v>36</v>
      </c>
      <c r="O115" s="77">
        <v>25</v>
      </c>
      <c r="Q115" s="87"/>
      <c r="Z115" s="65"/>
      <c r="BA115" s="75"/>
      <c r="BB115" s="3"/>
      <c r="BC115" s="79"/>
      <c r="BG115" s="79"/>
      <c r="BI115" s="3"/>
      <c r="BJ115" s="3"/>
      <c r="BM115" s="84"/>
      <c r="BN115" s="74"/>
      <c r="BO115" s="74"/>
      <c r="BP115" s="74"/>
      <c r="BQ115" s="84"/>
      <c r="BR115" s="74"/>
      <c r="BS115" s="74"/>
      <c r="BT115" s="74"/>
      <c r="BU115" s="83"/>
    </row>
    <row r="116" spans="1:73" s="77" customFormat="1">
      <c r="A116" s="66" t="str">
        <f t="shared" si="13"/>
        <v>L34</v>
      </c>
      <c r="B116" s="77" t="s">
        <v>19</v>
      </c>
      <c r="C116" s="76" t="str">
        <f t="shared" si="12"/>
        <v>L34-L38</v>
      </c>
      <c r="D116" s="76" t="s">
        <v>195</v>
      </c>
      <c r="E116" s="76" t="s">
        <v>267</v>
      </c>
      <c r="F116" s="77">
        <v>1</v>
      </c>
      <c r="G116" s="77">
        <v>1</v>
      </c>
      <c r="H116" s="77">
        <v>25</v>
      </c>
      <c r="I116" s="77">
        <v>25</v>
      </c>
      <c r="J116" s="77">
        <v>1</v>
      </c>
      <c r="K116" s="77">
        <v>1</v>
      </c>
      <c r="L116" s="77">
        <v>1.3</v>
      </c>
      <c r="M116" s="77">
        <v>1</v>
      </c>
      <c r="N116" s="77">
        <v>32</v>
      </c>
      <c r="O116" s="77">
        <v>25</v>
      </c>
      <c r="Q116" s="87"/>
      <c r="Z116" s="65"/>
      <c r="BA116" s="75"/>
      <c r="BB116" s="3"/>
      <c r="BC116" s="79"/>
      <c r="BG116" s="79"/>
      <c r="BI116" s="3"/>
      <c r="BJ116" s="3"/>
      <c r="BM116" s="84"/>
      <c r="BN116" s="74"/>
      <c r="BO116" s="74"/>
      <c r="BP116" s="74"/>
      <c r="BQ116" s="84"/>
      <c r="BR116" s="74"/>
      <c r="BS116" s="74"/>
      <c r="BT116" s="74"/>
      <c r="BU116" s="83"/>
    </row>
    <row r="117" spans="1:73" s="77" customFormat="1">
      <c r="A117" s="66" t="str">
        <f t="shared" si="13"/>
        <v>L38</v>
      </c>
      <c r="B117" s="77" t="s">
        <v>20</v>
      </c>
      <c r="C117" s="76" t="str">
        <f t="shared" si="12"/>
        <v>L38-L42</v>
      </c>
      <c r="D117" s="76" t="s">
        <v>195</v>
      </c>
      <c r="E117" s="76" t="s">
        <v>267</v>
      </c>
      <c r="F117" s="77">
        <v>1</v>
      </c>
      <c r="G117" s="77">
        <v>1</v>
      </c>
      <c r="H117" s="77">
        <v>22</v>
      </c>
      <c r="I117" s="77">
        <v>25</v>
      </c>
      <c r="J117" s="77">
        <v>1</v>
      </c>
      <c r="K117" s="77">
        <v>1</v>
      </c>
      <c r="L117" s="77">
        <v>1.3</v>
      </c>
      <c r="M117" s="77">
        <v>1</v>
      </c>
      <c r="N117" s="77">
        <v>32</v>
      </c>
      <c r="O117" s="77">
        <v>25</v>
      </c>
      <c r="Q117" s="87"/>
      <c r="Z117" s="65"/>
      <c r="BA117" s="75"/>
      <c r="BB117" s="3"/>
      <c r="BC117" s="79"/>
      <c r="BG117" s="79"/>
      <c r="BI117" s="3"/>
      <c r="BJ117" s="3"/>
      <c r="BM117" s="84"/>
      <c r="BN117" s="74"/>
      <c r="BO117" s="74"/>
      <c r="BP117" s="74"/>
      <c r="BQ117" s="84"/>
      <c r="BR117" s="74"/>
      <c r="BS117" s="74"/>
      <c r="BT117" s="74"/>
      <c r="BU117" s="83"/>
    </row>
    <row r="118" spans="1:73" s="77" customFormat="1">
      <c r="A118" s="66" t="str">
        <f t="shared" si="13"/>
        <v>L42</v>
      </c>
      <c r="B118" s="77" t="s">
        <v>21</v>
      </c>
      <c r="C118" s="76" t="str">
        <f t="shared" si="12"/>
        <v>L42-L46</v>
      </c>
      <c r="D118" s="76" t="s">
        <v>195</v>
      </c>
      <c r="E118" s="76" t="s">
        <v>267</v>
      </c>
      <c r="F118" s="77">
        <v>1</v>
      </c>
      <c r="G118" s="77">
        <v>1</v>
      </c>
      <c r="H118" s="77">
        <v>26</v>
      </c>
      <c r="I118" s="77">
        <v>25</v>
      </c>
      <c r="J118" s="77">
        <v>1</v>
      </c>
      <c r="K118" s="77">
        <v>1</v>
      </c>
      <c r="L118" s="77">
        <v>1.3</v>
      </c>
      <c r="M118" s="77">
        <v>1</v>
      </c>
      <c r="N118" s="77">
        <v>32</v>
      </c>
      <c r="O118" s="77">
        <v>25</v>
      </c>
      <c r="Q118" s="87"/>
      <c r="Z118" s="65"/>
      <c r="BA118" s="75"/>
      <c r="BB118" s="3"/>
      <c r="BC118" s="79"/>
      <c r="BG118" s="79"/>
      <c r="BI118" s="3"/>
      <c r="BJ118" s="3"/>
      <c r="BM118" s="84"/>
      <c r="BN118" s="74"/>
      <c r="BO118" s="74"/>
      <c r="BP118" s="74"/>
      <c r="BQ118" s="84"/>
      <c r="BR118" s="74"/>
      <c r="BS118" s="74"/>
      <c r="BT118" s="74"/>
      <c r="BU118" s="83"/>
    </row>
    <row r="119" spans="1:73" s="77" customFormat="1">
      <c r="A119" s="66" t="str">
        <f t="shared" si="13"/>
        <v>L46</v>
      </c>
      <c r="B119" s="77" t="s">
        <v>22</v>
      </c>
      <c r="C119" s="76" t="str">
        <f t="shared" si="12"/>
        <v>L46-L50</v>
      </c>
      <c r="D119" s="76" t="s">
        <v>195</v>
      </c>
      <c r="E119" s="76" t="s">
        <v>267</v>
      </c>
      <c r="F119" s="77">
        <v>1</v>
      </c>
      <c r="G119" s="77">
        <v>1</v>
      </c>
      <c r="H119" s="77">
        <v>26</v>
      </c>
      <c r="I119" s="77">
        <v>25</v>
      </c>
      <c r="J119" s="77">
        <v>1</v>
      </c>
      <c r="K119" s="77">
        <v>1</v>
      </c>
      <c r="L119" s="77">
        <v>1.3</v>
      </c>
      <c r="M119" s="77">
        <v>1</v>
      </c>
      <c r="N119" s="77">
        <v>32</v>
      </c>
      <c r="O119" s="77">
        <v>25</v>
      </c>
      <c r="Q119" s="87"/>
      <c r="Z119" s="65"/>
      <c r="BA119" s="75"/>
      <c r="BB119" s="3"/>
      <c r="BC119" s="79"/>
      <c r="BG119" s="79"/>
      <c r="BI119" s="3"/>
      <c r="BJ119" s="3"/>
      <c r="BM119" s="84"/>
      <c r="BN119" s="74"/>
      <c r="BO119" s="74"/>
      <c r="BP119" s="74"/>
      <c r="BQ119" s="84"/>
      <c r="BR119" s="74"/>
      <c r="BS119" s="74"/>
      <c r="BT119" s="74"/>
      <c r="BU119" s="83"/>
    </row>
    <row r="120" spans="1:73" s="77" customFormat="1">
      <c r="A120" s="66" t="str">
        <f t="shared" si="13"/>
        <v>L50</v>
      </c>
      <c r="B120" s="77" t="s">
        <v>23</v>
      </c>
      <c r="C120" s="76" t="str">
        <f t="shared" si="12"/>
        <v>L50-ROOF OVER MCRM</v>
      </c>
      <c r="D120" s="76" t="s">
        <v>195</v>
      </c>
      <c r="E120" s="76" t="s">
        <v>267</v>
      </c>
      <c r="F120" s="77">
        <v>1</v>
      </c>
      <c r="G120" s="77">
        <v>1</v>
      </c>
      <c r="H120" s="77">
        <v>26</v>
      </c>
      <c r="I120" s="77">
        <v>25</v>
      </c>
      <c r="J120" s="77">
        <v>1</v>
      </c>
      <c r="K120" s="77">
        <v>1</v>
      </c>
      <c r="L120" s="77">
        <v>1.3</v>
      </c>
      <c r="M120" s="77">
        <v>1</v>
      </c>
      <c r="N120" s="77">
        <v>32</v>
      </c>
      <c r="O120" s="77">
        <v>25</v>
      </c>
      <c r="Q120" s="87"/>
      <c r="Z120" s="65"/>
      <c r="BA120" s="75"/>
      <c r="BB120" s="3"/>
      <c r="BC120" s="79"/>
      <c r="BG120" s="79"/>
      <c r="BI120" s="3"/>
      <c r="BJ120" s="3"/>
      <c r="BM120" s="84"/>
      <c r="BN120" s="74"/>
      <c r="BO120" s="74"/>
      <c r="BP120" s="74"/>
      <c r="BQ120" s="84"/>
      <c r="BR120" s="74"/>
      <c r="BS120" s="74"/>
      <c r="BT120" s="74"/>
      <c r="BU120" s="83"/>
    </row>
    <row r="121" spans="1:73">
      <c r="A121" s="66" t="s">
        <v>7</v>
      </c>
      <c r="B121" s="77" t="s">
        <v>8</v>
      </c>
      <c r="C121" s="76" t="str">
        <f>CONCATENATE(A121,"-",B121)</f>
        <v>FND-B1</v>
      </c>
      <c r="D121" s="2" t="s">
        <v>196</v>
      </c>
      <c r="E121" s="2" t="s">
        <v>268</v>
      </c>
      <c r="F121" s="77" t="s">
        <v>26</v>
      </c>
      <c r="G121" s="77">
        <v>1</v>
      </c>
      <c r="H121" s="1">
        <v>84</v>
      </c>
      <c r="I121" s="1">
        <v>32</v>
      </c>
      <c r="J121" s="1">
        <v>3.3</v>
      </c>
      <c r="K121" s="1">
        <v>1</v>
      </c>
      <c r="Q121" s="87"/>
      <c r="Z121" s="65"/>
      <c r="BC121" s="79"/>
      <c r="BE121" s="77"/>
      <c r="BG121" s="79"/>
      <c r="BI121" s="3"/>
      <c r="BJ121" s="3"/>
      <c r="BM121" s="84"/>
      <c r="BN121" s="74"/>
      <c r="BO121" s="74"/>
      <c r="BP121" s="74"/>
      <c r="BQ121" s="84"/>
      <c r="BR121" s="74"/>
      <c r="BS121" s="74"/>
      <c r="BT121" s="74"/>
    </row>
    <row r="122" spans="1:73">
      <c r="A122" s="66" t="str">
        <f>B121</f>
        <v>B1</v>
      </c>
      <c r="B122" s="77" t="s">
        <v>9</v>
      </c>
      <c r="C122" s="76" t="str">
        <f t="shared" ref="C122:C136" si="14">CONCATENATE(A122,"-",B122)</f>
        <v>B1-LG</v>
      </c>
      <c r="D122" s="76" t="s">
        <v>196</v>
      </c>
      <c r="E122" s="76" t="s">
        <v>268</v>
      </c>
      <c r="F122" s="77" t="s">
        <v>26</v>
      </c>
      <c r="G122" s="77">
        <v>1</v>
      </c>
      <c r="H122" s="1">
        <v>78</v>
      </c>
      <c r="I122" s="1">
        <v>32</v>
      </c>
      <c r="J122" s="77">
        <v>3.3</v>
      </c>
      <c r="K122" s="77">
        <v>1</v>
      </c>
      <c r="Q122" s="87"/>
      <c r="Z122" s="65"/>
      <c r="BC122" s="79"/>
      <c r="BE122" s="77"/>
      <c r="BG122" s="79"/>
      <c r="BI122" s="3"/>
      <c r="BJ122" s="3"/>
      <c r="BM122" s="84"/>
      <c r="BN122" s="74"/>
      <c r="BO122" s="74"/>
      <c r="BP122" s="74"/>
      <c r="BQ122" s="84"/>
      <c r="BR122" s="74"/>
      <c r="BS122" s="74"/>
      <c r="BT122" s="74"/>
    </row>
    <row r="123" spans="1:73">
      <c r="A123" s="66" t="str">
        <f t="shared" ref="A123:A136" si="15">B122</f>
        <v>LG</v>
      </c>
      <c r="B123" s="77" t="s">
        <v>10</v>
      </c>
      <c r="C123" s="76" t="str">
        <f t="shared" si="14"/>
        <v>LG-L1</v>
      </c>
      <c r="D123" s="76" t="s">
        <v>196</v>
      </c>
      <c r="E123" s="76" t="s">
        <v>268</v>
      </c>
      <c r="F123" s="77" t="s">
        <v>26</v>
      </c>
      <c r="G123" s="77">
        <v>1</v>
      </c>
      <c r="H123" s="1">
        <v>66</v>
      </c>
      <c r="I123" s="1">
        <v>32</v>
      </c>
      <c r="J123" s="77">
        <v>3.3</v>
      </c>
      <c r="K123" s="77">
        <v>1</v>
      </c>
      <c r="Q123" s="87"/>
      <c r="Z123" s="65"/>
      <c r="BC123" s="79"/>
      <c r="BE123" s="77"/>
      <c r="BG123" s="79"/>
      <c r="BI123" s="3"/>
      <c r="BJ123" s="3"/>
      <c r="BM123" s="84"/>
      <c r="BN123" s="74"/>
      <c r="BO123" s="74"/>
      <c r="BP123" s="74"/>
      <c r="BQ123" s="84"/>
      <c r="BR123" s="74"/>
      <c r="BS123" s="74"/>
      <c r="BT123" s="74"/>
    </row>
    <row r="124" spans="1:73">
      <c r="A124" s="66" t="str">
        <f t="shared" si="15"/>
        <v>L1</v>
      </c>
      <c r="B124" s="77" t="s">
        <v>11</v>
      </c>
      <c r="C124" s="76" t="str">
        <f t="shared" si="14"/>
        <v>L1-L5</v>
      </c>
      <c r="D124" s="76" t="s">
        <v>196</v>
      </c>
      <c r="E124" s="76" t="s">
        <v>268</v>
      </c>
      <c r="F124" s="77" t="s">
        <v>26</v>
      </c>
      <c r="G124" s="77">
        <v>1</v>
      </c>
      <c r="H124" s="1">
        <v>57</v>
      </c>
      <c r="I124" s="1">
        <v>32</v>
      </c>
      <c r="J124" s="77">
        <v>3.3</v>
      </c>
      <c r="K124" s="77">
        <v>1</v>
      </c>
      <c r="Q124" s="87"/>
      <c r="Z124" s="65"/>
      <c r="BC124" s="79"/>
      <c r="BE124" s="77"/>
      <c r="BG124" s="79"/>
      <c r="BI124" s="3"/>
      <c r="BJ124" s="3"/>
      <c r="BM124" s="84"/>
      <c r="BN124" s="74"/>
      <c r="BO124" s="74"/>
      <c r="BP124" s="74"/>
      <c r="BQ124" s="84"/>
      <c r="BR124" s="74"/>
      <c r="BS124" s="74"/>
      <c r="BT124" s="74"/>
    </row>
    <row r="125" spans="1:73">
      <c r="A125" s="66" t="str">
        <f t="shared" si="15"/>
        <v>L5</v>
      </c>
      <c r="B125" s="77" t="s">
        <v>12</v>
      </c>
      <c r="C125" s="76" t="str">
        <f t="shared" si="14"/>
        <v>L5-L9</v>
      </c>
      <c r="D125" s="76" t="s">
        <v>196</v>
      </c>
      <c r="E125" s="76" t="s">
        <v>268</v>
      </c>
      <c r="F125" s="77" t="s">
        <v>26</v>
      </c>
      <c r="G125" s="77">
        <v>1</v>
      </c>
      <c r="H125" s="1">
        <v>54</v>
      </c>
      <c r="I125" s="1">
        <v>32</v>
      </c>
      <c r="J125" s="77">
        <v>3.3</v>
      </c>
      <c r="K125" s="77">
        <v>1</v>
      </c>
      <c r="Q125" s="87"/>
      <c r="Z125" s="65"/>
      <c r="BC125" s="79"/>
      <c r="BE125" s="77"/>
      <c r="BG125" s="79"/>
      <c r="BI125" s="3"/>
      <c r="BJ125" s="3"/>
      <c r="BM125" s="84"/>
      <c r="BN125" s="74"/>
      <c r="BO125" s="74"/>
      <c r="BP125" s="74"/>
      <c r="BQ125" s="84"/>
      <c r="BR125" s="74"/>
      <c r="BS125" s="74"/>
      <c r="BT125" s="74"/>
    </row>
    <row r="126" spans="1:73">
      <c r="A126" s="66" t="str">
        <f t="shared" si="15"/>
        <v>L9</v>
      </c>
      <c r="B126" s="77" t="s">
        <v>13</v>
      </c>
      <c r="C126" s="76" t="str">
        <f t="shared" si="14"/>
        <v>L9-L13</v>
      </c>
      <c r="D126" s="76" t="s">
        <v>196</v>
      </c>
      <c r="E126" s="76" t="s">
        <v>268</v>
      </c>
      <c r="F126" s="77" t="s">
        <v>26</v>
      </c>
      <c r="G126" s="77">
        <v>1</v>
      </c>
      <c r="H126" s="1">
        <v>62</v>
      </c>
      <c r="I126" s="1">
        <v>28</v>
      </c>
      <c r="J126" s="77">
        <v>3.3</v>
      </c>
      <c r="K126" s="77">
        <v>1</v>
      </c>
      <c r="Q126" s="87"/>
      <c r="Z126" s="65"/>
      <c r="BC126" s="79"/>
      <c r="BE126" s="77"/>
      <c r="BG126" s="79"/>
      <c r="BI126" s="3"/>
      <c r="BJ126" s="3"/>
      <c r="BM126" s="84"/>
      <c r="BN126" s="74"/>
      <c r="BO126" s="74"/>
      <c r="BP126" s="74"/>
      <c r="BQ126" s="84"/>
      <c r="BR126" s="74"/>
      <c r="BS126" s="74"/>
      <c r="BT126" s="74"/>
    </row>
    <row r="127" spans="1:73">
      <c r="A127" s="66" t="str">
        <f t="shared" si="15"/>
        <v>L13</v>
      </c>
      <c r="B127" s="77" t="s">
        <v>14</v>
      </c>
      <c r="C127" s="76" t="str">
        <f t="shared" si="14"/>
        <v>L13-L17</v>
      </c>
      <c r="D127" s="76" t="s">
        <v>196</v>
      </c>
      <c r="E127" s="76" t="s">
        <v>268</v>
      </c>
      <c r="F127" s="77" t="s">
        <v>26</v>
      </c>
      <c r="G127" s="77">
        <v>1</v>
      </c>
      <c r="H127" s="1">
        <v>62</v>
      </c>
      <c r="I127" s="1">
        <v>28</v>
      </c>
      <c r="J127" s="77">
        <v>3.3</v>
      </c>
      <c r="K127" s="77">
        <v>1</v>
      </c>
      <c r="Q127" s="87"/>
      <c r="Z127" s="65"/>
      <c r="BC127" s="79"/>
      <c r="BE127" s="77"/>
      <c r="BG127" s="79"/>
      <c r="BI127" s="3"/>
      <c r="BJ127" s="3"/>
      <c r="BM127" s="84"/>
      <c r="BN127" s="74"/>
      <c r="BO127" s="74"/>
      <c r="BP127" s="74"/>
      <c r="BQ127" s="84"/>
      <c r="BR127" s="74"/>
      <c r="BS127" s="74"/>
      <c r="BT127" s="74"/>
    </row>
    <row r="128" spans="1:73">
      <c r="A128" s="66" t="str">
        <f t="shared" si="15"/>
        <v>L17</v>
      </c>
      <c r="B128" s="77" t="s">
        <v>15</v>
      </c>
      <c r="C128" s="76" t="str">
        <f t="shared" si="14"/>
        <v>L17-L21</v>
      </c>
      <c r="D128" s="76" t="s">
        <v>196</v>
      </c>
      <c r="E128" s="76" t="s">
        <v>268</v>
      </c>
      <c r="F128" s="77" t="s">
        <v>26</v>
      </c>
      <c r="G128" s="77">
        <v>1</v>
      </c>
      <c r="H128" s="1">
        <v>62</v>
      </c>
      <c r="I128" s="1">
        <v>28</v>
      </c>
      <c r="J128" s="77">
        <v>3.3</v>
      </c>
      <c r="K128" s="77">
        <v>1</v>
      </c>
      <c r="Q128" s="87"/>
      <c r="Z128" s="65"/>
      <c r="BC128" s="79"/>
      <c r="BE128" s="77"/>
      <c r="BG128" s="79"/>
      <c r="BI128" s="3"/>
      <c r="BJ128" s="3"/>
      <c r="BM128" s="84"/>
      <c r="BN128" s="74"/>
      <c r="BO128" s="74"/>
      <c r="BP128" s="74"/>
      <c r="BQ128" s="84"/>
      <c r="BR128" s="74"/>
      <c r="BS128" s="74"/>
      <c r="BT128" s="74"/>
    </row>
    <row r="129" spans="1:72">
      <c r="A129" s="66" t="str">
        <f t="shared" si="15"/>
        <v>L21</v>
      </c>
      <c r="B129" s="77" t="s">
        <v>16</v>
      </c>
      <c r="C129" s="76" t="str">
        <f t="shared" si="14"/>
        <v>L21-L25</v>
      </c>
      <c r="D129" s="76" t="s">
        <v>196</v>
      </c>
      <c r="E129" s="76" t="s">
        <v>268</v>
      </c>
      <c r="F129" s="77" t="s">
        <v>26</v>
      </c>
      <c r="G129" s="77">
        <v>1</v>
      </c>
      <c r="H129" s="1">
        <v>62</v>
      </c>
      <c r="I129" s="1">
        <v>28</v>
      </c>
      <c r="J129" s="77">
        <v>3.3</v>
      </c>
      <c r="K129" s="77">
        <v>1</v>
      </c>
      <c r="Q129" s="87"/>
      <c r="Z129" s="65"/>
      <c r="BC129" s="79"/>
      <c r="BE129" s="77"/>
      <c r="BG129" s="79"/>
      <c r="BI129" s="3"/>
      <c r="BJ129" s="3"/>
      <c r="BM129" s="84"/>
      <c r="BN129" s="74"/>
      <c r="BO129" s="74"/>
      <c r="BP129" s="74"/>
      <c r="BQ129" s="84"/>
      <c r="BR129" s="74"/>
      <c r="BS129" s="74"/>
      <c r="BT129" s="74"/>
    </row>
    <row r="130" spans="1:72">
      <c r="A130" s="66" t="str">
        <f t="shared" si="15"/>
        <v>L25</v>
      </c>
      <c r="B130" s="77" t="s">
        <v>17</v>
      </c>
      <c r="C130" s="76" t="str">
        <f t="shared" si="14"/>
        <v>L25-L30</v>
      </c>
      <c r="D130" s="76" t="s">
        <v>196</v>
      </c>
      <c r="E130" s="76" t="s">
        <v>268</v>
      </c>
      <c r="F130" s="77" t="s">
        <v>26</v>
      </c>
      <c r="G130" s="77">
        <v>1</v>
      </c>
      <c r="H130" s="1">
        <v>62</v>
      </c>
      <c r="I130" s="1">
        <v>28</v>
      </c>
      <c r="J130" s="77">
        <v>3.3</v>
      </c>
      <c r="K130" s="77">
        <v>1</v>
      </c>
      <c r="Q130" s="87"/>
      <c r="Z130" s="65"/>
      <c r="BC130" s="79"/>
      <c r="BE130" s="77"/>
      <c r="BG130" s="79"/>
      <c r="BI130" s="3"/>
      <c r="BJ130" s="3"/>
      <c r="BM130" s="84"/>
      <c r="BN130" s="74"/>
      <c r="BO130" s="74"/>
      <c r="BP130" s="74"/>
      <c r="BQ130" s="84"/>
      <c r="BR130" s="74"/>
      <c r="BS130" s="74"/>
      <c r="BT130" s="74"/>
    </row>
    <row r="131" spans="1:72">
      <c r="A131" s="66" t="str">
        <f t="shared" si="15"/>
        <v>L30</v>
      </c>
      <c r="B131" s="77" t="s">
        <v>18</v>
      </c>
      <c r="C131" s="76" t="str">
        <f t="shared" si="14"/>
        <v>L30-L34</v>
      </c>
      <c r="D131" s="76" t="s">
        <v>196</v>
      </c>
      <c r="E131" s="76" t="s">
        <v>268</v>
      </c>
      <c r="F131" s="77" t="s">
        <v>26</v>
      </c>
      <c r="G131" s="77">
        <v>1</v>
      </c>
      <c r="H131" s="77">
        <v>62</v>
      </c>
      <c r="I131" s="77">
        <v>28</v>
      </c>
      <c r="J131" s="77">
        <v>3.3</v>
      </c>
      <c r="K131" s="77">
        <v>1</v>
      </c>
      <c r="Q131" s="87"/>
      <c r="Z131" s="65"/>
      <c r="BC131" s="79"/>
      <c r="BE131" s="77"/>
      <c r="BG131" s="79"/>
      <c r="BI131" s="3"/>
      <c r="BJ131" s="3"/>
      <c r="BM131" s="84"/>
      <c r="BN131" s="74"/>
      <c r="BO131" s="74"/>
      <c r="BP131" s="74"/>
      <c r="BQ131" s="84"/>
      <c r="BR131" s="74"/>
      <c r="BS131" s="74"/>
      <c r="BT131" s="74"/>
    </row>
    <row r="132" spans="1:72">
      <c r="A132" s="66" t="str">
        <f t="shared" si="15"/>
        <v>L34</v>
      </c>
      <c r="B132" s="77" t="s">
        <v>19</v>
      </c>
      <c r="C132" s="76" t="str">
        <f t="shared" si="14"/>
        <v>L34-L38</v>
      </c>
      <c r="D132" s="76" t="s">
        <v>196</v>
      </c>
      <c r="E132" s="76" t="s">
        <v>268</v>
      </c>
      <c r="F132" s="77">
        <v>1</v>
      </c>
      <c r="G132" s="77">
        <v>1</v>
      </c>
      <c r="H132" s="77">
        <v>26</v>
      </c>
      <c r="I132" s="77">
        <v>25</v>
      </c>
      <c r="J132" s="77">
        <v>1</v>
      </c>
      <c r="K132" s="77">
        <v>1</v>
      </c>
      <c r="L132" s="77">
        <v>1.3</v>
      </c>
      <c r="M132" s="77">
        <v>1</v>
      </c>
      <c r="N132" s="77">
        <v>32</v>
      </c>
      <c r="O132" s="77">
        <v>25</v>
      </c>
      <c r="Q132" s="87"/>
      <c r="Z132" s="65"/>
      <c r="BC132" s="79"/>
      <c r="BE132" s="77"/>
      <c r="BG132" s="79"/>
      <c r="BI132" s="3"/>
      <c r="BJ132" s="3"/>
      <c r="BM132" s="84"/>
      <c r="BN132" s="74"/>
      <c r="BO132" s="74"/>
      <c r="BP132" s="74"/>
      <c r="BQ132" s="84"/>
      <c r="BR132" s="74"/>
      <c r="BS132" s="74"/>
      <c r="BT132" s="74"/>
    </row>
    <row r="133" spans="1:72">
      <c r="A133" s="66" t="str">
        <f t="shared" si="15"/>
        <v>L38</v>
      </c>
      <c r="B133" s="77" t="s">
        <v>20</v>
      </c>
      <c r="C133" s="76" t="str">
        <f t="shared" si="14"/>
        <v>L38-L42</v>
      </c>
      <c r="D133" s="76" t="s">
        <v>196</v>
      </c>
      <c r="E133" s="76" t="s">
        <v>268</v>
      </c>
      <c r="F133" s="77">
        <v>1</v>
      </c>
      <c r="G133" s="77">
        <v>1</v>
      </c>
      <c r="H133" s="77">
        <v>26</v>
      </c>
      <c r="I133" s="77">
        <v>25</v>
      </c>
      <c r="J133" s="77">
        <v>1</v>
      </c>
      <c r="K133" s="77">
        <v>1</v>
      </c>
      <c r="L133" s="77">
        <v>1.3</v>
      </c>
      <c r="M133" s="77">
        <v>1</v>
      </c>
      <c r="N133" s="77">
        <v>32</v>
      </c>
      <c r="O133" s="77">
        <v>25</v>
      </c>
      <c r="Q133" s="87"/>
      <c r="Z133" s="65"/>
      <c r="BC133" s="79"/>
      <c r="BE133" s="77"/>
      <c r="BG133" s="79"/>
      <c r="BI133" s="3"/>
      <c r="BJ133" s="3"/>
      <c r="BM133" s="84"/>
      <c r="BN133" s="74"/>
      <c r="BO133" s="74"/>
      <c r="BP133" s="74"/>
      <c r="BQ133" s="84"/>
      <c r="BR133" s="74"/>
      <c r="BS133" s="74"/>
      <c r="BT133" s="74"/>
    </row>
    <row r="134" spans="1:72">
      <c r="A134" s="66" t="str">
        <f t="shared" si="15"/>
        <v>L42</v>
      </c>
      <c r="B134" s="77" t="s">
        <v>21</v>
      </c>
      <c r="C134" s="76" t="str">
        <f t="shared" si="14"/>
        <v>L42-L46</v>
      </c>
      <c r="D134" s="76" t="s">
        <v>196</v>
      </c>
      <c r="E134" s="76" t="s">
        <v>268</v>
      </c>
      <c r="F134" s="77">
        <v>1</v>
      </c>
      <c r="G134" s="77">
        <v>1</v>
      </c>
      <c r="H134" s="77">
        <v>26</v>
      </c>
      <c r="I134" s="77">
        <v>25</v>
      </c>
      <c r="J134" s="77">
        <v>1</v>
      </c>
      <c r="K134" s="77">
        <v>1</v>
      </c>
      <c r="L134" s="77">
        <v>1.3</v>
      </c>
      <c r="M134" s="77">
        <v>1</v>
      </c>
      <c r="N134" s="77">
        <v>32</v>
      </c>
      <c r="O134" s="77">
        <v>25</v>
      </c>
      <c r="Q134" s="87"/>
      <c r="Z134" s="65"/>
      <c r="BC134" s="79"/>
      <c r="BE134" s="77"/>
      <c r="BG134" s="79"/>
      <c r="BI134" s="3"/>
      <c r="BJ134" s="3"/>
      <c r="BM134" s="84"/>
      <c r="BN134" s="74"/>
      <c r="BO134" s="74"/>
      <c r="BP134" s="74"/>
      <c r="BQ134" s="84"/>
      <c r="BR134" s="74"/>
      <c r="BS134" s="74"/>
      <c r="BT134" s="74"/>
    </row>
    <row r="135" spans="1:72">
      <c r="A135" s="66" t="str">
        <f t="shared" si="15"/>
        <v>L46</v>
      </c>
      <c r="B135" s="77" t="s">
        <v>22</v>
      </c>
      <c r="C135" s="76" t="str">
        <f t="shared" si="14"/>
        <v>L46-L50</v>
      </c>
      <c r="D135" s="76" t="s">
        <v>196</v>
      </c>
      <c r="E135" s="76" t="s">
        <v>268</v>
      </c>
      <c r="F135" s="77">
        <v>1</v>
      </c>
      <c r="G135" s="77">
        <v>1</v>
      </c>
      <c r="H135" s="77">
        <v>26</v>
      </c>
      <c r="I135" s="77">
        <v>25</v>
      </c>
      <c r="J135" s="77">
        <v>1</v>
      </c>
      <c r="K135" s="77">
        <v>1</v>
      </c>
      <c r="L135" s="77">
        <v>1.3</v>
      </c>
      <c r="M135" s="77">
        <v>1</v>
      </c>
      <c r="N135" s="77">
        <v>32</v>
      </c>
      <c r="O135" s="77">
        <v>25</v>
      </c>
      <c r="Q135" s="87"/>
      <c r="Z135" s="65"/>
      <c r="BC135" s="79"/>
      <c r="BE135" s="77"/>
      <c r="BG135" s="79"/>
      <c r="BI135" s="3"/>
      <c r="BJ135" s="3"/>
      <c r="BM135" s="84"/>
      <c r="BN135" s="74"/>
      <c r="BO135" s="74"/>
      <c r="BP135" s="74"/>
      <c r="BQ135" s="84"/>
      <c r="BR135" s="74"/>
      <c r="BS135" s="74"/>
      <c r="BT135" s="74"/>
    </row>
    <row r="136" spans="1:72">
      <c r="A136" s="66" t="str">
        <f t="shared" si="15"/>
        <v>L50</v>
      </c>
      <c r="B136" s="77" t="s">
        <v>23</v>
      </c>
      <c r="C136" s="76" t="str">
        <f t="shared" si="14"/>
        <v>L50-ROOF OVER MCRM</v>
      </c>
      <c r="D136" s="76" t="s">
        <v>196</v>
      </c>
      <c r="E136" s="76" t="s">
        <v>268</v>
      </c>
      <c r="F136" s="77">
        <v>1</v>
      </c>
      <c r="G136" s="77">
        <v>1</v>
      </c>
      <c r="H136" s="77">
        <v>26</v>
      </c>
      <c r="I136" s="77">
        <v>25</v>
      </c>
      <c r="J136" s="77">
        <v>1</v>
      </c>
      <c r="K136" s="77">
        <v>1</v>
      </c>
      <c r="L136" s="77">
        <v>1.3</v>
      </c>
      <c r="M136" s="77">
        <v>1</v>
      </c>
      <c r="N136" s="77">
        <v>32</v>
      </c>
      <c r="O136" s="77">
        <v>25</v>
      </c>
      <c r="Q136" s="87"/>
      <c r="Z136" s="65"/>
      <c r="BC136" s="79"/>
      <c r="BE136" s="77"/>
      <c r="BG136" s="79"/>
      <c r="BI136" s="3"/>
      <c r="BJ136" s="3"/>
      <c r="BM136" s="84"/>
      <c r="BN136" s="74"/>
      <c r="BO136" s="74"/>
      <c r="BP136" s="74"/>
      <c r="BQ136" s="84"/>
      <c r="BR136" s="74"/>
      <c r="BS136" s="74"/>
      <c r="BT136" s="74"/>
    </row>
    <row r="137" spans="1:72">
      <c r="A137" s="66" t="s">
        <v>7</v>
      </c>
      <c r="B137" s="77" t="s">
        <v>8</v>
      </c>
      <c r="C137" s="76" t="str">
        <f>CONCATENATE(A137,"-",B137)</f>
        <v>FND-B1</v>
      </c>
      <c r="D137" s="76" t="s">
        <v>197</v>
      </c>
      <c r="E137" s="76" t="s">
        <v>268</v>
      </c>
      <c r="F137" s="77">
        <v>2.75</v>
      </c>
      <c r="G137" s="77">
        <v>1</v>
      </c>
      <c r="H137" s="77">
        <v>84</v>
      </c>
      <c r="I137" s="77">
        <v>32</v>
      </c>
      <c r="J137" s="77">
        <v>6.8</v>
      </c>
      <c r="K137" s="77">
        <v>1</v>
      </c>
      <c r="L137" s="77">
        <v>2.75</v>
      </c>
      <c r="M137" s="77">
        <v>1</v>
      </c>
      <c r="N137" s="77">
        <v>83</v>
      </c>
      <c r="O137" s="77">
        <v>32</v>
      </c>
      <c r="Q137" s="87"/>
      <c r="Z137" s="65"/>
      <c r="BC137" s="79"/>
      <c r="BE137" s="77"/>
      <c r="BG137" s="79"/>
      <c r="BI137" s="3"/>
      <c r="BJ137" s="3"/>
      <c r="BM137" s="84"/>
      <c r="BN137" s="74"/>
      <c r="BO137" s="74"/>
      <c r="BP137" s="74"/>
      <c r="BQ137" s="84"/>
      <c r="BR137" s="74"/>
      <c r="BS137" s="74"/>
      <c r="BT137" s="74"/>
    </row>
    <row r="138" spans="1:72">
      <c r="A138" s="66" t="str">
        <f>B137</f>
        <v>B1</v>
      </c>
      <c r="B138" s="77" t="s">
        <v>9</v>
      </c>
      <c r="C138" s="76" t="str">
        <f t="shared" ref="C138:C152" si="16">CONCATENATE(A138,"-",B138)</f>
        <v>B1-LG</v>
      </c>
      <c r="D138" s="76" t="s">
        <v>197</v>
      </c>
      <c r="E138" s="76" t="s">
        <v>268</v>
      </c>
      <c r="F138" s="77">
        <v>2.75</v>
      </c>
      <c r="G138" s="77">
        <v>1</v>
      </c>
      <c r="H138" s="77">
        <v>78</v>
      </c>
      <c r="I138" s="77">
        <v>32</v>
      </c>
      <c r="J138" s="77">
        <v>6.8</v>
      </c>
      <c r="K138" s="77">
        <v>1</v>
      </c>
      <c r="L138" s="77">
        <v>2.75</v>
      </c>
      <c r="M138" s="77">
        <v>1</v>
      </c>
      <c r="N138" s="77">
        <v>78</v>
      </c>
      <c r="O138" s="77">
        <v>32</v>
      </c>
      <c r="Q138" s="87"/>
      <c r="Z138" s="65"/>
      <c r="BC138" s="79"/>
      <c r="BE138" s="77"/>
      <c r="BG138" s="79"/>
      <c r="BI138" s="3"/>
      <c r="BJ138" s="3"/>
      <c r="BM138" s="84"/>
      <c r="BN138" s="74"/>
      <c r="BO138" s="74"/>
      <c r="BP138" s="74"/>
      <c r="BQ138" s="84"/>
      <c r="BR138" s="74"/>
      <c r="BS138" s="74"/>
      <c r="BT138" s="74"/>
    </row>
    <row r="139" spans="1:72">
      <c r="A139" s="66" t="str">
        <f t="shared" ref="A139:A152" si="17">B138</f>
        <v>LG</v>
      </c>
      <c r="B139" s="77" t="s">
        <v>10</v>
      </c>
      <c r="C139" s="76" t="str">
        <f t="shared" si="16"/>
        <v>LG-L1</v>
      </c>
      <c r="D139" s="76" t="s">
        <v>197</v>
      </c>
      <c r="E139" s="76" t="s">
        <v>268</v>
      </c>
      <c r="F139" s="77">
        <v>2.2000000000000002</v>
      </c>
      <c r="G139" s="77">
        <v>1</v>
      </c>
      <c r="H139" s="77">
        <v>66</v>
      </c>
      <c r="I139" s="77">
        <v>32</v>
      </c>
      <c r="J139" s="77">
        <v>7.9</v>
      </c>
      <c r="K139" s="77">
        <v>1</v>
      </c>
      <c r="L139" s="77">
        <v>2.2000000000000002</v>
      </c>
      <c r="M139" s="77">
        <v>1</v>
      </c>
      <c r="N139" s="77">
        <v>66</v>
      </c>
      <c r="O139" s="77">
        <v>32</v>
      </c>
      <c r="Q139" s="87"/>
      <c r="Z139" s="65"/>
      <c r="AZ139" s="77"/>
      <c r="BC139" s="79"/>
      <c r="BE139" s="77"/>
      <c r="BG139" s="79"/>
      <c r="BI139" s="3"/>
      <c r="BJ139" s="3"/>
      <c r="BM139" s="84"/>
      <c r="BN139" s="74"/>
      <c r="BO139" s="74"/>
      <c r="BP139" s="74"/>
      <c r="BQ139" s="84"/>
      <c r="BR139" s="74"/>
      <c r="BS139" s="74"/>
      <c r="BT139" s="74"/>
    </row>
    <row r="140" spans="1:72">
      <c r="A140" s="66" t="str">
        <f t="shared" si="17"/>
        <v>L1</v>
      </c>
      <c r="B140" s="77" t="s">
        <v>11</v>
      </c>
      <c r="C140" s="76" t="str">
        <f t="shared" si="16"/>
        <v>L1-L5</v>
      </c>
      <c r="D140" s="76" t="s">
        <v>197</v>
      </c>
      <c r="E140" s="76" t="s">
        <v>268</v>
      </c>
      <c r="F140" s="77">
        <v>2.2000000000000002</v>
      </c>
      <c r="G140" s="77">
        <v>1</v>
      </c>
      <c r="H140" s="77">
        <v>57</v>
      </c>
      <c r="I140" s="77">
        <v>32</v>
      </c>
      <c r="J140" s="77">
        <v>7.9</v>
      </c>
      <c r="K140" s="77">
        <v>1</v>
      </c>
      <c r="L140" s="77">
        <v>2.2000000000000002</v>
      </c>
      <c r="M140" s="77">
        <v>1</v>
      </c>
      <c r="N140" s="77">
        <v>57</v>
      </c>
      <c r="O140" s="77">
        <v>32</v>
      </c>
      <c r="Q140" s="87"/>
      <c r="Z140" s="65"/>
      <c r="AZ140" s="77"/>
      <c r="BC140" s="79"/>
      <c r="BE140" s="77"/>
      <c r="BG140" s="79"/>
      <c r="BI140" s="3"/>
      <c r="BJ140" s="3"/>
      <c r="BM140" s="84"/>
      <c r="BN140" s="74"/>
      <c r="BO140" s="74"/>
      <c r="BP140" s="74"/>
      <c r="BQ140" s="84"/>
      <c r="BR140" s="74"/>
      <c r="BS140" s="74"/>
      <c r="BT140" s="74"/>
    </row>
    <row r="141" spans="1:72">
      <c r="A141" s="66" t="str">
        <f t="shared" si="17"/>
        <v>L5</v>
      </c>
      <c r="B141" s="77" t="s">
        <v>12</v>
      </c>
      <c r="C141" s="76" t="str">
        <f t="shared" si="16"/>
        <v>L5-L9</v>
      </c>
      <c r="D141" s="76" t="s">
        <v>197</v>
      </c>
      <c r="E141" s="76" t="s">
        <v>268</v>
      </c>
      <c r="F141" s="77">
        <v>2</v>
      </c>
      <c r="G141" s="77">
        <v>1</v>
      </c>
      <c r="H141" s="77">
        <v>54</v>
      </c>
      <c r="I141" s="77">
        <v>32</v>
      </c>
      <c r="J141" s="77">
        <v>8.3000000000000007</v>
      </c>
      <c r="K141" s="77">
        <v>1</v>
      </c>
      <c r="L141" s="77">
        <v>2</v>
      </c>
      <c r="M141" s="77">
        <v>1</v>
      </c>
      <c r="N141" s="77">
        <v>54</v>
      </c>
      <c r="O141" s="77">
        <v>32</v>
      </c>
      <c r="Q141" s="87"/>
      <c r="Z141" s="65"/>
      <c r="BC141" s="79"/>
      <c r="BE141" s="77"/>
      <c r="BG141" s="79"/>
      <c r="BI141" s="3"/>
      <c r="BJ141" s="3"/>
      <c r="BM141" s="84"/>
      <c r="BN141" s="74"/>
      <c r="BO141" s="74"/>
      <c r="BP141" s="74"/>
      <c r="BQ141" s="84"/>
      <c r="BR141" s="74"/>
      <c r="BS141" s="74"/>
      <c r="BT141" s="74"/>
    </row>
    <row r="142" spans="1:72">
      <c r="A142" s="66" t="str">
        <f t="shared" si="17"/>
        <v>L9</v>
      </c>
      <c r="B142" s="77" t="s">
        <v>13</v>
      </c>
      <c r="C142" s="76" t="str">
        <f t="shared" si="16"/>
        <v>L9-L13</v>
      </c>
      <c r="D142" s="76" t="s">
        <v>197</v>
      </c>
      <c r="E142" s="76" t="s">
        <v>268</v>
      </c>
      <c r="F142" s="77">
        <v>1.3</v>
      </c>
      <c r="G142" s="77">
        <v>1</v>
      </c>
      <c r="H142" s="77">
        <v>62</v>
      </c>
      <c r="I142" s="77">
        <v>28</v>
      </c>
      <c r="J142" s="77">
        <v>9.6999999999999993</v>
      </c>
      <c r="K142" s="77">
        <v>1</v>
      </c>
      <c r="L142" s="77">
        <v>1.3</v>
      </c>
      <c r="M142" s="77">
        <v>1</v>
      </c>
      <c r="N142" s="77">
        <v>61</v>
      </c>
      <c r="O142" s="77">
        <v>28</v>
      </c>
      <c r="Q142" s="87"/>
      <c r="Z142" s="65"/>
      <c r="BC142" s="79"/>
      <c r="BE142" s="77"/>
      <c r="BG142" s="79"/>
      <c r="BI142" s="3"/>
      <c r="BJ142" s="3"/>
      <c r="BM142" s="84"/>
      <c r="BN142" s="74"/>
      <c r="BO142" s="74"/>
      <c r="BP142" s="74"/>
      <c r="BQ142" s="84"/>
      <c r="BR142" s="74"/>
      <c r="BS142" s="74"/>
      <c r="BT142" s="74"/>
    </row>
    <row r="143" spans="1:72">
      <c r="A143" s="66" t="str">
        <f t="shared" si="17"/>
        <v>L13</v>
      </c>
      <c r="B143" s="77" t="s">
        <v>14</v>
      </c>
      <c r="C143" s="76" t="str">
        <f t="shared" si="16"/>
        <v>L13-L17</v>
      </c>
      <c r="D143" s="76" t="s">
        <v>197</v>
      </c>
      <c r="E143" s="76" t="s">
        <v>268</v>
      </c>
      <c r="F143" s="77">
        <v>1.3</v>
      </c>
      <c r="G143" s="77">
        <v>1</v>
      </c>
      <c r="H143" s="77">
        <v>62</v>
      </c>
      <c r="I143" s="77">
        <v>28</v>
      </c>
      <c r="J143" s="77">
        <v>9.6999999999999993</v>
      </c>
      <c r="K143" s="77">
        <v>1</v>
      </c>
      <c r="L143" s="77">
        <v>1.3</v>
      </c>
      <c r="M143" s="77">
        <v>1</v>
      </c>
      <c r="N143" s="77">
        <v>61</v>
      </c>
      <c r="O143" s="77">
        <v>28</v>
      </c>
      <c r="Q143" s="87"/>
      <c r="Z143" s="65"/>
      <c r="BC143" s="79"/>
      <c r="BE143" s="77"/>
      <c r="BG143" s="79"/>
      <c r="BI143" s="3"/>
      <c r="BJ143" s="3"/>
      <c r="BM143" s="84"/>
      <c r="BN143" s="74"/>
      <c r="BO143" s="74"/>
      <c r="BP143" s="74"/>
      <c r="BQ143" s="84"/>
      <c r="BR143" s="74"/>
      <c r="BS143" s="74"/>
      <c r="BT143" s="74"/>
    </row>
    <row r="144" spans="1:72">
      <c r="A144" s="66" t="str">
        <f t="shared" si="17"/>
        <v>L17</v>
      </c>
      <c r="B144" s="77" t="s">
        <v>15</v>
      </c>
      <c r="C144" s="76" t="str">
        <f t="shared" si="16"/>
        <v>L17-L21</v>
      </c>
      <c r="D144" s="76" t="s">
        <v>197</v>
      </c>
      <c r="E144" s="76" t="s">
        <v>268</v>
      </c>
      <c r="F144" s="77">
        <v>1.3</v>
      </c>
      <c r="G144" s="77">
        <v>1</v>
      </c>
      <c r="H144" s="77">
        <v>62</v>
      </c>
      <c r="I144" s="77">
        <v>28</v>
      </c>
      <c r="J144" s="77">
        <v>9.6999999999999993</v>
      </c>
      <c r="K144" s="77">
        <v>1</v>
      </c>
      <c r="L144" s="77">
        <v>1.3</v>
      </c>
      <c r="M144" s="77">
        <v>1</v>
      </c>
      <c r="N144" s="77">
        <v>61</v>
      </c>
      <c r="O144" s="77">
        <v>28</v>
      </c>
      <c r="Q144" s="87"/>
      <c r="Z144" s="65"/>
      <c r="BC144" s="79"/>
      <c r="BE144" s="77"/>
      <c r="BG144" s="79"/>
      <c r="BI144" s="3"/>
      <c r="BJ144" s="3"/>
      <c r="BM144" s="84"/>
      <c r="BN144" s="74"/>
      <c r="BO144" s="74"/>
      <c r="BP144" s="74"/>
      <c r="BQ144" s="84"/>
      <c r="BR144" s="74"/>
      <c r="BS144" s="74"/>
      <c r="BT144" s="74"/>
    </row>
    <row r="145" spans="1:72">
      <c r="A145" s="66" t="str">
        <f t="shared" si="17"/>
        <v>L21</v>
      </c>
      <c r="B145" s="77" t="s">
        <v>16</v>
      </c>
      <c r="C145" s="76" t="str">
        <f t="shared" si="16"/>
        <v>L21-L25</v>
      </c>
      <c r="D145" s="76" t="s">
        <v>197</v>
      </c>
      <c r="E145" s="76" t="s">
        <v>268</v>
      </c>
      <c r="F145" s="77">
        <v>1.3</v>
      </c>
      <c r="G145" s="77">
        <v>1</v>
      </c>
      <c r="H145" s="77">
        <v>62</v>
      </c>
      <c r="I145" s="77">
        <v>28</v>
      </c>
      <c r="J145" s="77">
        <v>9.6999999999999993</v>
      </c>
      <c r="K145" s="77">
        <v>1</v>
      </c>
      <c r="L145" s="77">
        <v>1.3</v>
      </c>
      <c r="M145" s="77">
        <v>1</v>
      </c>
      <c r="N145" s="77">
        <v>61</v>
      </c>
      <c r="O145" s="77">
        <v>28</v>
      </c>
      <c r="Q145" s="87"/>
      <c r="Z145" s="65"/>
      <c r="BC145" s="79"/>
      <c r="BE145" s="77"/>
      <c r="BG145" s="79"/>
      <c r="BI145" s="3"/>
      <c r="BJ145" s="3"/>
      <c r="BM145" s="84"/>
      <c r="BN145" s="74"/>
      <c r="BO145" s="74"/>
      <c r="BP145" s="74"/>
      <c r="BQ145" s="84"/>
      <c r="BR145" s="74"/>
      <c r="BS145" s="74"/>
      <c r="BT145" s="74"/>
    </row>
    <row r="146" spans="1:72">
      <c r="A146" s="66" t="str">
        <f t="shared" si="17"/>
        <v>L25</v>
      </c>
      <c r="B146" s="77" t="s">
        <v>17</v>
      </c>
      <c r="C146" s="76" t="str">
        <f t="shared" si="16"/>
        <v>L25-L30</v>
      </c>
      <c r="D146" s="76" t="s">
        <v>197</v>
      </c>
      <c r="E146" s="76" t="s">
        <v>268</v>
      </c>
      <c r="F146" s="77">
        <v>1.3</v>
      </c>
      <c r="G146" s="77">
        <v>1</v>
      </c>
      <c r="H146" s="77">
        <v>62</v>
      </c>
      <c r="I146" s="77">
        <v>28</v>
      </c>
      <c r="J146" s="77">
        <v>9.6999999999999993</v>
      </c>
      <c r="K146" s="77">
        <v>1</v>
      </c>
      <c r="L146" s="77">
        <v>1.3</v>
      </c>
      <c r="M146" s="77">
        <v>1</v>
      </c>
      <c r="N146" s="77">
        <v>62</v>
      </c>
      <c r="O146" s="77">
        <v>28</v>
      </c>
      <c r="Q146" s="87"/>
      <c r="Z146" s="65"/>
      <c r="BC146" s="79"/>
      <c r="BE146" s="77"/>
      <c r="BG146" s="79"/>
      <c r="BI146" s="3"/>
      <c r="BJ146" s="3"/>
      <c r="BM146" s="84"/>
      <c r="BN146" s="74"/>
      <c r="BO146" s="74"/>
      <c r="BP146" s="74"/>
      <c r="BQ146" s="84"/>
      <c r="BR146" s="74"/>
      <c r="BS146" s="74"/>
      <c r="BT146" s="74"/>
    </row>
    <row r="147" spans="1:72">
      <c r="A147" s="66" t="str">
        <f t="shared" si="17"/>
        <v>L30</v>
      </c>
      <c r="B147" s="77" t="s">
        <v>18</v>
      </c>
      <c r="C147" s="76" t="str">
        <f t="shared" si="16"/>
        <v>L30-L34</v>
      </c>
      <c r="D147" s="76" t="s">
        <v>197</v>
      </c>
      <c r="E147" s="76" t="s">
        <v>268</v>
      </c>
      <c r="F147" s="77">
        <v>1.3</v>
      </c>
      <c r="G147" s="77">
        <v>1</v>
      </c>
      <c r="H147" s="77">
        <v>62</v>
      </c>
      <c r="I147" s="77">
        <v>28</v>
      </c>
      <c r="J147" s="77">
        <v>9.6999999999999993</v>
      </c>
      <c r="K147" s="77">
        <v>1</v>
      </c>
      <c r="L147" s="77">
        <v>1.3</v>
      </c>
      <c r="M147" s="77">
        <v>1</v>
      </c>
      <c r="N147" s="77">
        <v>62</v>
      </c>
      <c r="O147" s="77">
        <v>28</v>
      </c>
      <c r="Q147" s="87"/>
      <c r="Z147" s="65"/>
      <c r="BC147" s="79"/>
      <c r="BE147" s="77"/>
      <c r="BG147" s="79"/>
      <c r="BI147" s="3"/>
      <c r="BJ147" s="3"/>
      <c r="BM147" s="84"/>
      <c r="BN147" s="74"/>
      <c r="BO147" s="74"/>
      <c r="BP147" s="74"/>
      <c r="BQ147" s="84"/>
      <c r="BR147" s="74"/>
      <c r="BS147" s="74"/>
      <c r="BT147" s="74"/>
    </row>
    <row r="148" spans="1:72">
      <c r="A148" s="66" t="str">
        <f t="shared" si="17"/>
        <v>L34</v>
      </c>
      <c r="B148" s="77" t="s">
        <v>19</v>
      </c>
      <c r="C148" s="76" t="str">
        <f t="shared" si="16"/>
        <v>L34-L38</v>
      </c>
      <c r="D148" s="76" t="s">
        <v>197</v>
      </c>
      <c r="E148" s="76" t="s">
        <v>268</v>
      </c>
      <c r="F148" s="77">
        <v>1.3</v>
      </c>
      <c r="G148" s="77">
        <v>1</v>
      </c>
      <c r="H148" s="77">
        <v>32</v>
      </c>
      <c r="I148" s="77">
        <v>25</v>
      </c>
      <c r="J148" s="77">
        <v>9.6999999999999993</v>
      </c>
      <c r="K148" s="77">
        <v>1</v>
      </c>
      <c r="L148" s="77">
        <v>1.3</v>
      </c>
      <c r="M148" s="77">
        <v>1</v>
      </c>
      <c r="N148" s="77">
        <v>32</v>
      </c>
      <c r="O148" s="77">
        <v>25</v>
      </c>
      <c r="Q148" s="87"/>
      <c r="Z148" s="65"/>
      <c r="BC148" s="79"/>
      <c r="BE148" s="77"/>
      <c r="BG148" s="79"/>
      <c r="BI148" s="3"/>
      <c r="BJ148" s="3"/>
      <c r="BM148" s="84"/>
      <c r="BN148" s="74"/>
      <c r="BO148" s="74"/>
      <c r="BP148" s="74"/>
      <c r="BQ148" s="84"/>
      <c r="BR148" s="74"/>
      <c r="BS148" s="74"/>
      <c r="BT148" s="74"/>
    </row>
    <row r="149" spans="1:72">
      <c r="A149" s="66" t="str">
        <f t="shared" si="17"/>
        <v>L38</v>
      </c>
      <c r="B149" s="77" t="s">
        <v>20</v>
      </c>
      <c r="C149" s="76" t="str">
        <f t="shared" si="16"/>
        <v>L38-L42</v>
      </c>
      <c r="D149" s="76" t="s">
        <v>197</v>
      </c>
      <c r="E149" s="76" t="s">
        <v>268</v>
      </c>
      <c r="F149" s="77">
        <v>1.3</v>
      </c>
      <c r="G149" s="77">
        <v>1</v>
      </c>
      <c r="H149" s="77">
        <v>32</v>
      </c>
      <c r="I149" s="77">
        <v>25</v>
      </c>
      <c r="J149" s="77">
        <v>9.6999999999999993</v>
      </c>
      <c r="K149" s="77">
        <v>1</v>
      </c>
      <c r="L149" s="77">
        <v>1.3</v>
      </c>
      <c r="M149" s="77">
        <v>1</v>
      </c>
      <c r="N149" s="77">
        <v>32</v>
      </c>
      <c r="O149" s="77">
        <v>25</v>
      </c>
      <c r="Q149" s="87"/>
      <c r="Z149" s="65"/>
      <c r="BC149" s="79"/>
      <c r="BE149" s="77"/>
      <c r="BG149" s="79"/>
      <c r="BI149" s="3"/>
      <c r="BJ149" s="3"/>
      <c r="BM149" s="84"/>
      <c r="BN149" s="74"/>
      <c r="BO149" s="74"/>
      <c r="BP149" s="74"/>
      <c r="BQ149" s="84"/>
      <c r="BR149" s="74"/>
      <c r="BS149" s="74"/>
      <c r="BT149" s="74"/>
    </row>
    <row r="150" spans="1:72">
      <c r="A150" s="66" t="str">
        <f t="shared" si="17"/>
        <v>L42</v>
      </c>
      <c r="B150" s="77" t="s">
        <v>21</v>
      </c>
      <c r="C150" s="76" t="str">
        <f t="shared" si="16"/>
        <v>L42-L46</v>
      </c>
      <c r="D150" s="76" t="s">
        <v>197</v>
      </c>
      <c r="E150" s="76" t="s">
        <v>268</v>
      </c>
      <c r="F150" s="77">
        <v>1.3</v>
      </c>
      <c r="G150" s="77">
        <v>1</v>
      </c>
      <c r="H150" s="77">
        <v>32</v>
      </c>
      <c r="I150" s="77">
        <v>25</v>
      </c>
      <c r="J150" s="77">
        <v>9.6999999999999993</v>
      </c>
      <c r="K150" s="77">
        <v>1</v>
      </c>
      <c r="L150" s="77">
        <v>1.3</v>
      </c>
      <c r="M150" s="77">
        <v>1</v>
      </c>
      <c r="N150" s="77">
        <v>32</v>
      </c>
      <c r="O150" s="77">
        <v>25</v>
      </c>
      <c r="Q150" s="87"/>
      <c r="Z150" s="65"/>
      <c r="BC150" s="79"/>
      <c r="BE150" s="77"/>
      <c r="BG150" s="79"/>
      <c r="BI150" s="3"/>
      <c r="BJ150" s="3"/>
      <c r="BM150" s="84"/>
      <c r="BN150" s="74"/>
      <c r="BO150" s="74"/>
      <c r="BP150" s="74"/>
      <c r="BQ150" s="84"/>
      <c r="BR150" s="74"/>
      <c r="BS150" s="74"/>
      <c r="BT150" s="74"/>
    </row>
    <row r="151" spans="1:72">
      <c r="A151" s="66" t="str">
        <f t="shared" si="17"/>
        <v>L46</v>
      </c>
      <c r="B151" s="77" t="s">
        <v>22</v>
      </c>
      <c r="C151" s="76" t="str">
        <f t="shared" si="16"/>
        <v>L46-L50</v>
      </c>
      <c r="D151" s="76" t="s">
        <v>197</v>
      </c>
      <c r="E151" s="76" t="s">
        <v>268</v>
      </c>
      <c r="F151" s="77">
        <v>1.3</v>
      </c>
      <c r="G151" s="77">
        <v>1</v>
      </c>
      <c r="H151" s="77">
        <v>32</v>
      </c>
      <c r="I151" s="77">
        <v>25</v>
      </c>
      <c r="J151" s="77">
        <v>9.6999999999999993</v>
      </c>
      <c r="K151" s="77">
        <v>1</v>
      </c>
      <c r="L151" s="77">
        <v>1.3</v>
      </c>
      <c r="M151" s="77">
        <v>1</v>
      </c>
      <c r="N151" s="77">
        <v>32</v>
      </c>
      <c r="O151" s="77">
        <v>25</v>
      </c>
      <c r="Q151" s="87"/>
      <c r="Z151" s="65"/>
      <c r="BC151" s="79"/>
      <c r="BE151" s="77"/>
      <c r="BG151" s="79"/>
      <c r="BI151" s="3"/>
      <c r="BJ151" s="3"/>
      <c r="BM151" s="84"/>
      <c r="BN151" s="74"/>
      <c r="BO151" s="74"/>
      <c r="BP151" s="74"/>
      <c r="BQ151" s="84"/>
      <c r="BR151" s="74"/>
      <c r="BS151" s="74"/>
      <c r="BT151" s="74"/>
    </row>
    <row r="152" spans="1:72">
      <c r="A152" s="66" t="str">
        <f t="shared" si="17"/>
        <v>L50</v>
      </c>
      <c r="B152" s="77" t="s">
        <v>23</v>
      </c>
      <c r="C152" s="76" t="str">
        <f t="shared" si="16"/>
        <v>L50-ROOF OVER MCRM</v>
      </c>
      <c r="D152" s="76" t="s">
        <v>197</v>
      </c>
      <c r="E152" s="76" t="s">
        <v>268</v>
      </c>
      <c r="F152" s="77">
        <v>1.3</v>
      </c>
      <c r="G152" s="77">
        <v>1</v>
      </c>
      <c r="H152" s="77">
        <v>32</v>
      </c>
      <c r="I152" s="77">
        <v>25</v>
      </c>
      <c r="J152" s="77">
        <v>9.6999999999999993</v>
      </c>
      <c r="K152" s="77">
        <v>1</v>
      </c>
      <c r="L152" s="77">
        <v>1.3</v>
      </c>
      <c r="M152" s="77">
        <v>1</v>
      </c>
      <c r="N152" s="77">
        <v>32</v>
      </c>
      <c r="O152" s="77">
        <v>25</v>
      </c>
      <c r="Q152" s="87"/>
      <c r="Z152" s="65"/>
      <c r="BC152" s="79"/>
      <c r="BE152" s="77"/>
      <c r="BG152" s="79"/>
      <c r="BI152" s="3"/>
      <c r="BJ152" s="3"/>
      <c r="BM152" s="84"/>
      <c r="BN152" s="74"/>
      <c r="BO152" s="74"/>
      <c r="BP152" s="74"/>
      <c r="BQ152" s="84"/>
      <c r="BR152" s="74"/>
      <c r="BS152" s="74"/>
      <c r="BT152" s="74"/>
    </row>
    <row r="153" spans="1:72">
      <c r="A153" s="66" t="s">
        <v>7</v>
      </c>
      <c r="B153" s="77" t="s">
        <v>8</v>
      </c>
      <c r="C153" s="76" t="str">
        <f>CONCATENATE(A153,"-",B153)</f>
        <v>FND-B1</v>
      </c>
      <c r="D153" s="76" t="s">
        <v>190</v>
      </c>
      <c r="E153" s="76" t="s">
        <v>268</v>
      </c>
      <c r="F153" s="77" t="s">
        <v>26</v>
      </c>
      <c r="G153" s="77">
        <v>1</v>
      </c>
      <c r="H153" s="77">
        <v>84</v>
      </c>
      <c r="I153" s="77">
        <v>32</v>
      </c>
      <c r="J153" s="77">
        <v>3.3</v>
      </c>
      <c r="K153" s="77">
        <v>1</v>
      </c>
      <c r="L153" s="77"/>
      <c r="M153" s="77"/>
      <c r="N153" s="77"/>
      <c r="O153" s="77"/>
      <c r="Q153" s="87"/>
      <c r="Z153" s="65"/>
      <c r="BC153" s="79"/>
      <c r="BE153" s="77"/>
      <c r="BG153" s="79"/>
      <c r="BI153" s="3"/>
      <c r="BJ153" s="3"/>
      <c r="BM153" s="84"/>
      <c r="BN153" s="74"/>
      <c r="BO153" s="74"/>
      <c r="BP153" s="74"/>
      <c r="BQ153" s="84"/>
      <c r="BR153" s="74"/>
      <c r="BS153" s="74"/>
      <c r="BT153" s="74"/>
    </row>
    <row r="154" spans="1:72">
      <c r="A154" s="66" t="str">
        <f>B153</f>
        <v>B1</v>
      </c>
      <c r="B154" s="77" t="s">
        <v>9</v>
      </c>
      <c r="C154" s="76" t="str">
        <f t="shared" ref="C154:C168" si="18">CONCATENATE(A154,"-",B154)</f>
        <v>B1-LG</v>
      </c>
      <c r="D154" s="76" t="s">
        <v>190</v>
      </c>
      <c r="E154" s="76" t="s">
        <v>268</v>
      </c>
      <c r="F154" s="77" t="s">
        <v>26</v>
      </c>
      <c r="G154" s="77">
        <v>1</v>
      </c>
      <c r="H154" s="77">
        <v>78</v>
      </c>
      <c r="I154" s="77">
        <v>32</v>
      </c>
      <c r="J154" s="77">
        <v>3.3</v>
      </c>
      <c r="K154" s="77">
        <v>1</v>
      </c>
      <c r="L154" s="77"/>
      <c r="M154" s="77"/>
      <c r="N154" s="77"/>
      <c r="O154" s="77"/>
      <c r="Q154" s="87"/>
      <c r="Z154" s="65"/>
      <c r="BC154" s="79"/>
      <c r="BE154" s="77"/>
      <c r="BG154" s="79"/>
      <c r="BI154" s="3"/>
      <c r="BJ154" s="3"/>
      <c r="BM154" s="84"/>
      <c r="BN154" s="74"/>
      <c r="BO154" s="74"/>
      <c r="BP154" s="74"/>
      <c r="BQ154" s="84"/>
      <c r="BR154" s="74"/>
      <c r="BS154" s="74"/>
      <c r="BT154" s="74"/>
    </row>
    <row r="155" spans="1:72">
      <c r="A155" s="66" t="str">
        <f t="shared" ref="A155:A168" si="19">B154</f>
        <v>LG</v>
      </c>
      <c r="B155" s="77" t="s">
        <v>10</v>
      </c>
      <c r="C155" s="76" t="str">
        <f t="shared" si="18"/>
        <v>LG-L1</v>
      </c>
      <c r="D155" s="76" t="s">
        <v>190</v>
      </c>
      <c r="E155" s="76" t="s">
        <v>268</v>
      </c>
      <c r="F155" s="77" t="s">
        <v>26</v>
      </c>
      <c r="G155" s="77">
        <v>1</v>
      </c>
      <c r="H155" s="77">
        <v>66</v>
      </c>
      <c r="I155" s="77">
        <v>32</v>
      </c>
      <c r="J155" s="77">
        <v>3.3</v>
      </c>
      <c r="K155" s="77">
        <v>1</v>
      </c>
      <c r="L155" s="77"/>
      <c r="M155" s="77"/>
      <c r="N155" s="77"/>
      <c r="O155" s="77"/>
      <c r="Q155" s="87"/>
      <c r="Z155" s="65"/>
      <c r="BC155" s="79"/>
      <c r="BE155" s="77"/>
      <c r="BG155" s="79"/>
      <c r="BI155" s="3"/>
      <c r="BJ155" s="3"/>
      <c r="BM155" s="84"/>
      <c r="BN155" s="74"/>
      <c r="BO155" s="74"/>
      <c r="BP155" s="74"/>
      <c r="BQ155" s="84"/>
      <c r="BR155" s="74"/>
      <c r="BS155" s="74"/>
      <c r="BT155" s="74"/>
    </row>
    <row r="156" spans="1:72">
      <c r="A156" s="66" t="str">
        <f t="shared" si="19"/>
        <v>L1</v>
      </c>
      <c r="B156" s="77" t="s">
        <v>11</v>
      </c>
      <c r="C156" s="76" t="str">
        <f t="shared" si="18"/>
        <v>L1-L5</v>
      </c>
      <c r="D156" s="76" t="s">
        <v>190</v>
      </c>
      <c r="E156" s="76" t="s">
        <v>268</v>
      </c>
      <c r="F156" s="77" t="s">
        <v>26</v>
      </c>
      <c r="G156" s="77">
        <v>1</v>
      </c>
      <c r="H156" s="77">
        <v>57</v>
      </c>
      <c r="I156" s="77">
        <v>32</v>
      </c>
      <c r="J156" s="77">
        <v>3.3</v>
      </c>
      <c r="K156" s="77">
        <v>1</v>
      </c>
      <c r="L156" s="77"/>
      <c r="M156" s="77"/>
      <c r="N156" s="77"/>
      <c r="O156" s="77"/>
      <c r="Q156" s="87"/>
      <c r="Z156" s="65"/>
      <c r="BC156" s="79"/>
      <c r="BE156" s="77"/>
      <c r="BG156" s="79"/>
      <c r="BI156" s="3"/>
      <c r="BJ156" s="3"/>
      <c r="BM156" s="84"/>
      <c r="BN156" s="74"/>
      <c r="BO156" s="74"/>
      <c r="BP156" s="74"/>
      <c r="BQ156" s="84"/>
      <c r="BR156" s="74"/>
      <c r="BS156" s="74"/>
      <c r="BT156" s="74"/>
    </row>
    <row r="157" spans="1:72">
      <c r="A157" s="66" t="str">
        <f t="shared" si="19"/>
        <v>L5</v>
      </c>
      <c r="B157" s="77" t="s">
        <v>12</v>
      </c>
      <c r="C157" s="76" t="str">
        <f t="shared" si="18"/>
        <v>L5-L9</v>
      </c>
      <c r="D157" s="76" t="s">
        <v>190</v>
      </c>
      <c r="E157" s="76" t="s">
        <v>268</v>
      </c>
      <c r="F157" s="77" t="s">
        <v>26</v>
      </c>
      <c r="G157" s="77">
        <v>1</v>
      </c>
      <c r="H157" s="77">
        <v>54</v>
      </c>
      <c r="I157" s="77">
        <v>32</v>
      </c>
      <c r="J157" s="77">
        <v>3.3</v>
      </c>
      <c r="K157" s="77">
        <v>1</v>
      </c>
      <c r="L157" s="77"/>
      <c r="M157" s="77"/>
      <c r="N157" s="77"/>
      <c r="O157" s="77"/>
      <c r="Q157" s="87"/>
      <c r="Z157" s="65"/>
      <c r="BC157" s="79"/>
      <c r="BE157" s="77"/>
      <c r="BG157" s="79"/>
      <c r="BI157" s="3"/>
      <c r="BJ157" s="3"/>
      <c r="BM157" s="84"/>
      <c r="BN157" s="74"/>
      <c r="BO157" s="74"/>
      <c r="BP157" s="74"/>
      <c r="BQ157" s="84"/>
      <c r="BR157" s="74"/>
      <c r="BS157" s="74"/>
      <c r="BT157" s="74"/>
    </row>
    <row r="158" spans="1:72">
      <c r="A158" s="66" t="str">
        <f t="shared" si="19"/>
        <v>L9</v>
      </c>
      <c r="B158" s="77" t="s">
        <v>13</v>
      </c>
      <c r="C158" s="76" t="str">
        <f t="shared" si="18"/>
        <v>L9-L13</v>
      </c>
      <c r="D158" s="76" t="s">
        <v>190</v>
      </c>
      <c r="E158" s="76" t="s">
        <v>268</v>
      </c>
      <c r="F158" s="77" t="s">
        <v>26</v>
      </c>
      <c r="G158" s="77">
        <v>1</v>
      </c>
      <c r="H158" s="77">
        <v>62</v>
      </c>
      <c r="I158" s="77">
        <v>28</v>
      </c>
      <c r="J158" s="77">
        <v>3.3</v>
      </c>
      <c r="K158" s="77">
        <v>1</v>
      </c>
      <c r="L158" s="77"/>
      <c r="M158" s="77"/>
      <c r="N158" s="77"/>
      <c r="O158" s="77"/>
      <c r="Q158" s="87"/>
      <c r="Z158" s="65"/>
      <c r="BC158" s="79"/>
      <c r="BE158" s="77"/>
      <c r="BG158" s="79"/>
      <c r="BI158" s="3"/>
      <c r="BJ158" s="3"/>
      <c r="BM158" s="84"/>
      <c r="BN158" s="74"/>
      <c r="BO158" s="74"/>
      <c r="BP158" s="74"/>
      <c r="BQ158" s="84"/>
      <c r="BR158" s="74"/>
      <c r="BS158" s="74"/>
      <c r="BT158" s="74"/>
    </row>
    <row r="159" spans="1:72">
      <c r="A159" s="66" t="str">
        <f t="shared" si="19"/>
        <v>L13</v>
      </c>
      <c r="B159" s="77" t="s">
        <v>14</v>
      </c>
      <c r="C159" s="76" t="str">
        <f t="shared" si="18"/>
        <v>L13-L17</v>
      </c>
      <c r="D159" s="76" t="s">
        <v>190</v>
      </c>
      <c r="E159" s="76" t="s">
        <v>268</v>
      </c>
      <c r="F159" s="77" t="s">
        <v>26</v>
      </c>
      <c r="G159" s="77">
        <v>1</v>
      </c>
      <c r="H159" s="77">
        <v>62</v>
      </c>
      <c r="I159" s="77">
        <v>28</v>
      </c>
      <c r="J159" s="77">
        <v>3.3</v>
      </c>
      <c r="K159" s="77">
        <v>1</v>
      </c>
      <c r="L159" s="77"/>
      <c r="M159" s="77"/>
      <c r="N159" s="77"/>
      <c r="O159" s="77"/>
      <c r="Q159" s="87"/>
      <c r="Z159" s="65"/>
      <c r="BC159" s="79"/>
      <c r="BE159" s="77"/>
      <c r="BG159" s="79"/>
      <c r="BI159" s="3"/>
      <c r="BJ159" s="3"/>
      <c r="BM159" s="84"/>
      <c r="BN159" s="74"/>
      <c r="BO159" s="74"/>
      <c r="BP159" s="74"/>
      <c r="BQ159" s="84"/>
      <c r="BR159" s="74"/>
      <c r="BS159" s="74"/>
      <c r="BT159" s="74"/>
    </row>
    <row r="160" spans="1:72">
      <c r="A160" s="66" t="str">
        <f t="shared" si="19"/>
        <v>L17</v>
      </c>
      <c r="B160" s="77" t="s">
        <v>15</v>
      </c>
      <c r="C160" s="76" t="str">
        <f t="shared" si="18"/>
        <v>L17-L21</v>
      </c>
      <c r="D160" s="76" t="s">
        <v>190</v>
      </c>
      <c r="E160" s="76" t="s">
        <v>268</v>
      </c>
      <c r="F160" s="77" t="s">
        <v>26</v>
      </c>
      <c r="G160" s="77">
        <v>1</v>
      </c>
      <c r="H160" s="77">
        <v>62</v>
      </c>
      <c r="I160" s="77">
        <v>28</v>
      </c>
      <c r="J160" s="77">
        <v>3.3</v>
      </c>
      <c r="K160" s="77">
        <v>1</v>
      </c>
      <c r="L160" s="77"/>
      <c r="M160" s="77"/>
      <c r="N160" s="77"/>
      <c r="O160" s="77"/>
      <c r="Q160" s="87"/>
      <c r="Z160" s="65"/>
      <c r="BC160" s="79"/>
      <c r="BE160" s="77"/>
      <c r="BG160" s="79"/>
      <c r="BI160" s="3"/>
      <c r="BJ160" s="3"/>
      <c r="BM160" s="84"/>
      <c r="BN160" s="74"/>
      <c r="BO160" s="74"/>
      <c r="BP160" s="74"/>
      <c r="BQ160" s="84"/>
      <c r="BR160" s="74"/>
      <c r="BS160" s="74"/>
      <c r="BT160" s="74"/>
    </row>
    <row r="161" spans="1:72">
      <c r="A161" s="66" t="str">
        <f t="shared" si="19"/>
        <v>L21</v>
      </c>
      <c r="B161" s="77" t="s">
        <v>16</v>
      </c>
      <c r="C161" s="76" t="str">
        <f t="shared" si="18"/>
        <v>L21-L25</v>
      </c>
      <c r="D161" s="76" t="s">
        <v>190</v>
      </c>
      <c r="E161" s="76" t="s">
        <v>268</v>
      </c>
      <c r="F161" s="77" t="s">
        <v>26</v>
      </c>
      <c r="G161" s="77">
        <v>1</v>
      </c>
      <c r="H161" s="77">
        <v>62</v>
      </c>
      <c r="I161" s="77">
        <v>28</v>
      </c>
      <c r="J161" s="77">
        <v>3.3</v>
      </c>
      <c r="K161" s="77">
        <v>1</v>
      </c>
      <c r="L161" s="77"/>
      <c r="M161" s="77"/>
      <c r="N161" s="77"/>
      <c r="O161" s="77"/>
      <c r="Q161" s="87"/>
      <c r="Z161" s="65"/>
      <c r="BC161" s="79"/>
      <c r="BE161" s="77"/>
      <c r="BG161" s="79"/>
      <c r="BI161" s="3"/>
      <c r="BJ161" s="3"/>
      <c r="BM161" s="84"/>
      <c r="BN161" s="74"/>
      <c r="BO161" s="74"/>
      <c r="BP161" s="74"/>
      <c r="BQ161" s="84"/>
      <c r="BR161" s="74"/>
      <c r="BS161" s="74"/>
      <c r="BT161" s="74"/>
    </row>
    <row r="162" spans="1:72">
      <c r="A162" s="66" t="str">
        <f t="shared" si="19"/>
        <v>L25</v>
      </c>
      <c r="B162" s="77" t="s">
        <v>17</v>
      </c>
      <c r="C162" s="76" t="str">
        <f t="shared" si="18"/>
        <v>L25-L30</v>
      </c>
      <c r="D162" s="76" t="s">
        <v>190</v>
      </c>
      <c r="E162" s="76" t="s">
        <v>268</v>
      </c>
      <c r="F162" s="77" t="s">
        <v>26</v>
      </c>
      <c r="G162" s="77">
        <v>1</v>
      </c>
      <c r="H162" s="77">
        <v>62</v>
      </c>
      <c r="I162" s="77">
        <v>28</v>
      </c>
      <c r="J162" s="77">
        <v>3.3</v>
      </c>
      <c r="K162" s="77">
        <v>1</v>
      </c>
      <c r="L162" s="77"/>
      <c r="M162" s="77"/>
      <c r="N162" s="77"/>
      <c r="O162" s="77"/>
      <c r="Q162" s="87"/>
      <c r="Z162" s="65"/>
      <c r="BC162" s="79"/>
      <c r="BE162" s="77"/>
      <c r="BG162" s="79"/>
      <c r="BI162" s="3"/>
      <c r="BJ162" s="3"/>
      <c r="BM162" s="84"/>
      <c r="BN162" s="74"/>
      <c r="BO162" s="74"/>
      <c r="BP162" s="74"/>
      <c r="BQ162" s="84"/>
      <c r="BR162" s="74"/>
      <c r="BS162" s="74"/>
      <c r="BT162" s="74"/>
    </row>
    <row r="163" spans="1:72">
      <c r="A163" s="66" t="str">
        <f t="shared" si="19"/>
        <v>L30</v>
      </c>
      <c r="B163" s="77" t="s">
        <v>18</v>
      </c>
      <c r="C163" s="76" t="str">
        <f t="shared" si="18"/>
        <v>L30-L34</v>
      </c>
      <c r="D163" s="76" t="s">
        <v>190</v>
      </c>
      <c r="E163" s="76" t="s">
        <v>268</v>
      </c>
      <c r="F163" s="77" t="s">
        <v>26</v>
      </c>
      <c r="G163" s="77">
        <v>1</v>
      </c>
      <c r="H163" s="77">
        <v>62</v>
      </c>
      <c r="I163" s="77">
        <v>28</v>
      </c>
      <c r="J163" s="77">
        <v>3.3</v>
      </c>
      <c r="K163" s="77">
        <v>1</v>
      </c>
      <c r="L163" s="77"/>
      <c r="M163" s="77"/>
      <c r="N163" s="77"/>
      <c r="O163" s="77"/>
      <c r="Q163" s="87"/>
      <c r="Z163" s="65"/>
      <c r="BC163" s="79"/>
      <c r="BE163" s="77"/>
      <c r="BG163" s="79"/>
      <c r="BI163" s="3"/>
      <c r="BJ163" s="3"/>
      <c r="BM163" s="84"/>
      <c r="BN163" s="74"/>
      <c r="BO163" s="74"/>
      <c r="BP163" s="74"/>
      <c r="BQ163" s="84"/>
      <c r="BR163" s="74"/>
      <c r="BS163" s="74"/>
      <c r="BT163" s="74"/>
    </row>
    <row r="164" spans="1:72">
      <c r="A164" s="66" t="str">
        <f t="shared" si="19"/>
        <v>L34</v>
      </c>
      <c r="B164" s="77" t="s">
        <v>19</v>
      </c>
      <c r="C164" s="76" t="str">
        <f t="shared" si="18"/>
        <v>L34-L38</v>
      </c>
      <c r="D164" s="76" t="s">
        <v>190</v>
      </c>
      <c r="E164" s="76" t="s">
        <v>268</v>
      </c>
      <c r="F164" s="77">
        <v>1</v>
      </c>
      <c r="G164" s="77">
        <v>1</v>
      </c>
      <c r="H164" s="77">
        <v>26</v>
      </c>
      <c r="I164" s="77">
        <v>25</v>
      </c>
      <c r="J164" s="77">
        <v>1</v>
      </c>
      <c r="K164" s="77">
        <v>1</v>
      </c>
      <c r="L164" s="77">
        <v>1.3</v>
      </c>
      <c r="M164" s="77">
        <v>1</v>
      </c>
      <c r="N164" s="77">
        <v>32</v>
      </c>
      <c r="O164" s="77">
        <v>25</v>
      </c>
      <c r="Q164" s="87"/>
      <c r="Z164" s="65"/>
      <c r="BC164" s="79"/>
      <c r="BE164" s="77"/>
      <c r="BG164" s="79"/>
      <c r="BI164" s="3"/>
      <c r="BJ164" s="3"/>
      <c r="BM164" s="84"/>
      <c r="BN164" s="74"/>
      <c r="BO164" s="74"/>
      <c r="BP164" s="74"/>
      <c r="BQ164" s="84"/>
      <c r="BR164" s="74"/>
      <c r="BS164" s="74"/>
      <c r="BT164" s="74"/>
    </row>
    <row r="165" spans="1:72">
      <c r="A165" s="66" t="str">
        <f t="shared" si="19"/>
        <v>L38</v>
      </c>
      <c r="B165" s="77" t="s">
        <v>20</v>
      </c>
      <c r="C165" s="76" t="str">
        <f t="shared" si="18"/>
        <v>L38-L42</v>
      </c>
      <c r="D165" s="76" t="s">
        <v>190</v>
      </c>
      <c r="E165" s="76" t="s">
        <v>268</v>
      </c>
      <c r="F165" s="77">
        <v>1</v>
      </c>
      <c r="G165" s="77">
        <v>1</v>
      </c>
      <c r="H165" s="77">
        <v>26</v>
      </c>
      <c r="I165" s="77">
        <v>25</v>
      </c>
      <c r="J165" s="77">
        <v>1</v>
      </c>
      <c r="K165" s="77">
        <v>1</v>
      </c>
      <c r="L165" s="77">
        <v>1.3</v>
      </c>
      <c r="M165" s="77">
        <v>1</v>
      </c>
      <c r="N165" s="77">
        <v>32</v>
      </c>
      <c r="O165" s="77">
        <v>25</v>
      </c>
      <c r="Q165" s="87"/>
      <c r="Z165" s="65"/>
      <c r="BC165" s="79"/>
      <c r="BE165" s="77"/>
      <c r="BG165" s="79"/>
      <c r="BI165" s="3"/>
      <c r="BJ165" s="3"/>
      <c r="BM165" s="84"/>
      <c r="BN165" s="74"/>
      <c r="BO165" s="74"/>
      <c r="BP165" s="74"/>
      <c r="BQ165" s="84"/>
      <c r="BR165" s="74"/>
      <c r="BS165" s="74"/>
      <c r="BT165" s="74"/>
    </row>
    <row r="166" spans="1:72">
      <c r="A166" s="66" t="str">
        <f t="shared" si="19"/>
        <v>L42</v>
      </c>
      <c r="B166" s="77" t="s">
        <v>21</v>
      </c>
      <c r="C166" s="76" t="str">
        <f t="shared" si="18"/>
        <v>L42-L46</v>
      </c>
      <c r="D166" s="76" t="s">
        <v>190</v>
      </c>
      <c r="E166" s="76" t="s">
        <v>268</v>
      </c>
      <c r="F166" s="77">
        <v>1</v>
      </c>
      <c r="G166" s="77">
        <v>1</v>
      </c>
      <c r="H166" s="77">
        <v>26</v>
      </c>
      <c r="I166" s="77">
        <v>25</v>
      </c>
      <c r="J166" s="77">
        <v>1</v>
      </c>
      <c r="K166" s="77">
        <v>1</v>
      </c>
      <c r="L166" s="77">
        <v>1.3</v>
      </c>
      <c r="M166" s="77">
        <v>1</v>
      </c>
      <c r="N166" s="77">
        <v>32</v>
      </c>
      <c r="O166" s="77">
        <v>25</v>
      </c>
      <c r="Q166" s="87"/>
      <c r="Z166" s="65"/>
      <c r="BC166" s="79"/>
      <c r="BE166" s="77"/>
      <c r="BG166" s="79"/>
      <c r="BI166" s="3"/>
      <c r="BJ166" s="3"/>
      <c r="BM166" s="84"/>
      <c r="BN166" s="74"/>
      <c r="BO166" s="74"/>
      <c r="BP166" s="74"/>
      <c r="BQ166" s="84"/>
      <c r="BR166" s="74"/>
      <c r="BS166" s="74"/>
      <c r="BT166" s="74"/>
    </row>
    <row r="167" spans="1:72">
      <c r="A167" s="66" t="str">
        <f t="shared" si="19"/>
        <v>L46</v>
      </c>
      <c r="B167" s="77" t="s">
        <v>22</v>
      </c>
      <c r="C167" s="76" t="str">
        <f t="shared" si="18"/>
        <v>L46-L50</v>
      </c>
      <c r="D167" s="76" t="s">
        <v>190</v>
      </c>
      <c r="E167" s="76" t="s">
        <v>268</v>
      </c>
      <c r="F167" s="77">
        <v>1</v>
      </c>
      <c r="G167" s="77">
        <v>1</v>
      </c>
      <c r="H167" s="77">
        <v>26</v>
      </c>
      <c r="I167" s="77">
        <v>25</v>
      </c>
      <c r="J167" s="77">
        <v>1</v>
      </c>
      <c r="K167" s="77">
        <v>1</v>
      </c>
      <c r="L167" s="77">
        <v>1.3</v>
      </c>
      <c r="M167" s="77">
        <v>1</v>
      </c>
      <c r="N167" s="77">
        <v>32</v>
      </c>
      <c r="O167" s="77">
        <v>25</v>
      </c>
      <c r="Q167" s="87"/>
      <c r="Z167" s="65"/>
      <c r="BC167" s="79"/>
      <c r="BE167" s="77"/>
      <c r="BG167" s="79"/>
      <c r="BI167" s="3"/>
      <c r="BJ167" s="3"/>
      <c r="BM167" s="84"/>
      <c r="BN167" s="74"/>
      <c r="BO167" s="74"/>
      <c r="BP167" s="74"/>
      <c r="BQ167" s="84"/>
      <c r="BR167" s="74"/>
      <c r="BS167" s="74"/>
      <c r="BT167" s="74"/>
    </row>
    <row r="168" spans="1:72">
      <c r="A168" s="66" t="str">
        <f t="shared" si="19"/>
        <v>L50</v>
      </c>
      <c r="B168" s="77" t="s">
        <v>23</v>
      </c>
      <c r="C168" s="76" t="str">
        <f t="shared" si="18"/>
        <v>L50-ROOF OVER MCRM</v>
      </c>
      <c r="D168" s="76" t="s">
        <v>190</v>
      </c>
      <c r="E168" s="76" t="s">
        <v>268</v>
      </c>
      <c r="F168" s="77">
        <v>1</v>
      </c>
      <c r="G168" s="77">
        <v>1</v>
      </c>
      <c r="H168" s="77">
        <v>26</v>
      </c>
      <c r="I168" s="77">
        <v>25</v>
      </c>
      <c r="J168" s="77">
        <v>1</v>
      </c>
      <c r="K168" s="77">
        <v>1</v>
      </c>
      <c r="L168" s="77">
        <v>1.3</v>
      </c>
      <c r="M168" s="77">
        <v>1</v>
      </c>
      <c r="N168" s="77">
        <v>32</v>
      </c>
      <c r="O168" s="77">
        <v>25</v>
      </c>
      <c r="Q168" s="87"/>
      <c r="Z168" s="65"/>
      <c r="BC168" s="79"/>
      <c r="BE168" s="77"/>
      <c r="BG168" s="79"/>
      <c r="BI168" s="3"/>
      <c r="BJ168" s="3"/>
      <c r="BM168" s="84"/>
      <c r="BN168" s="74"/>
      <c r="BO168" s="74"/>
      <c r="BP168" s="74"/>
      <c r="BQ168" s="84"/>
      <c r="BR168" s="74"/>
      <c r="BS168" s="74"/>
      <c r="BT168" s="74"/>
    </row>
  </sheetData>
  <mergeCells count="31">
    <mergeCell ref="AV5:AX5"/>
    <mergeCell ref="AS4:AX4"/>
    <mergeCell ref="AM5:AN5"/>
    <mergeCell ref="AO5:AP5"/>
    <mergeCell ref="AQ5:AR5"/>
    <mergeCell ref="AM4:AR4"/>
    <mergeCell ref="AS5:AU5"/>
    <mergeCell ref="Q4:AE4"/>
    <mergeCell ref="AG5:AH5"/>
    <mergeCell ref="AI5:AJ5"/>
    <mergeCell ref="J5:K5"/>
    <mergeCell ref="F5:I5"/>
    <mergeCell ref="L5:O5"/>
    <mergeCell ref="AG4:AL4"/>
    <mergeCell ref="AK5:AL5"/>
    <mergeCell ref="BC5:BC6"/>
    <mergeCell ref="BQ5:BT5"/>
    <mergeCell ref="BQ6:BR6"/>
    <mergeCell ref="BS6:BT6"/>
    <mergeCell ref="BM6:BN6"/>
    <mergeCell ref="BO6:BP6"/>
    <mergeCell ref="BM5:BP5"/>
    <mergeCell ref="BE5:BE6"/>
    <mergeCell ref="BG5:BG6"/>
    <mergeCell ref="BD5:BD6"/>
    <mergeCell ref="BH5:BH6"/>
    <mergeCell ref="BI7:BI8"/>
    <mergeCell ref="BJ7:BJ8"/>
    <mergeCell ref="BK7:BK8"/>
    <mergeCell ref="BI5:BL5"/>
    <mergeCell ref="BL7:BL8"/>
  </mergeCells>
  <conditionalFormatting sqref="AY1:AZ88 AY121:AZ1048576">
    <cfRule type="cellIs" dxfId="18" priority="4" operator="equal">
      <formula>"NG"</formula>
    </cfRule>
  </conditionalFormatting>
  <conditionalFormatting sqref="AY89:AZ104">
    <cfRule type="cellIs" dxfId="17" priority="3" operator="equal">
      <formula>"NG"</formula>
    </cfRule>
  </conditionalFormatting>
  <conditionalFormatting sqref="AY105:AZ114 AY120:AZ120 AY115:AY119">
    <cfRule type="cellIs" dxfId="16" priority="2" operator="equal">
      <formula>"NG"</formula>
    </cfRule>
  </conditionalFormatting>
  <conditionalFormatting sqref="AZ115:AZ119">
    <cfRule type="cellIs" dxfId="15" priority="1" operator="equal">
      <formula>"NG"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OrganizeData">
          <controlPr defaultSize="0" autoLine="0" r:id="rId5">
            <anchor moveWithCells="1">
              <from>
                <xdr:col>16</xdr:col>
                <xdr:colOff>390525</xdr:colOff>
                <xdr:row>0</xdr:row>
                <xdr:rowOff>114300</xdr:rowOff>
              </from>
              <to>
                <xdr:col>18</xdr:col>
                <xdr:colOff>314325</xdr:colOff>
                <xdr:row>2</xdr:row>
                <xdr:rowOff>171450</xdr:rowOff>
              </to>
            </anchor>
          </controlPr>
        </control>
      </mc:Choice>
      <mc:Fallback>
        <control shapeId="2050" r:id="rId4" name="OrganizeData"/>
      </mc:Fallback>
    </mc:AlternateContent>
    <mc:AlternateContent xmlns:mc="http://schemas.openxmlformats.org/markup-compatibility/2006">
      <mc:Choice Requires="x14">
        <control shapeId="2051" r:id="rId6" name="DesignSWDuctility">
          <controlPr defaultSize="0" autoLine="0" r:id="rId7">
            <anchor moveWithCells="1">
              <from>
                <xdr:col>18</xdr:col>
                <xdr:colOff>619125</xdr:colOff>
                <xdr:row>0</xdr:row>
                <xdr:rowOff>95250</xdr:rowOff>
              </from>
              <to>
                <xdr:col>20</xdr:col>
                <xdr:colOff>57150</xdr:colOff>
                <xdr:row>2</xdr:row>
                <xdr:rowOff>152400</xdr:rowOff>
              </to>
            </anchor>
          </controlPr>
        </control>
      </mc:Choice>
      <mc:Fallback>
        <control shapeId="2051" r:id="rId6" name="DesignSWDuctilit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F128"/>
  <sheetViews>
    <sheetView topLeftCell="A31" workbookViewId="0">
      <selection activeCell="O57" sqref="O57:Q57"/>
    </sheetView>
  </sheetViews>
  <sheetFormatPr defaultColWidth="9.140625" defaultRowHeight="15.75" customHeight="1" zeroHeight="1"/>
  <cols>
    <col min="1" max="1" width="3.7109375" style="5" customWidth="1"/>
    <col min="2" max="4" width="2.7109375" style="5" customWidth="1"/>
    <col min="5" max="5" width="25.7109375" style="5" customWidth="1"/>
    <col min="6" max="6" width="9.7109375" style="5" customWidth="1"/>
    <col min="7" max="7" width="0.42578125" style="5" customWidth="1"/>
    <col min="8" max="8" width="9.7109375" style="5" customWidth="1"/>
    <col min="9" max="9" width="0.42578125" style="5" customWidth="1"/>
    <col min="10" max="10" width="3.7109375" style="6" customWidth="1"/>
    <col min="11" max="11" width="11.7109375" style="5" customWidth="1"/>
    <col min="12" max="14" width="3.7109375" style="5" customWidth="1"/>
    <col min="15" max="15" width="9.140625" style="16" customWidth="1"/>
    <col min="16" max="16" width="0.42578125" style="16" customWidth="1"/>
    <col min="17" max="17" width="9.140625" style="16" customWidth="1"/>
    <col min="18" max="18" width="0.42578125" style="5" customWidth="1"/>
    <col min="19" max="19" width="3.7109375" style="6" customWidth="1"/>
    <col min="20" max="20" width="8.42578125" style="5" hidden="1" customWidth="1"/>
    <col min="21" max="21" width="12.140625" style="8" hidden="1" customWidth="1"/>
    <col min="22" max="22" width="11.28515625" style="8" hidden="1" customWidth="1"/>
    <col min="23" max="26" width="9.140625" style="8" hidden="1" customWidth="1"/>
    <col min="27" max="32" width="9.140625" style="8" customWidth="1"/>
    <col min="33" max="16384" width="9.140625" style="5"/>
  </cols>
  <sheetData>
    <row r="1" spans="2:27">
      <c r="O1" s="7"/>
      <c r="P1" s="7"/>
      <c r="Q1" s="7"/>
    </row>
    <row r="2" spans="2:27" ht="23.1" customHeight="1">
      <c r="B2" s="98" t="s">
        <v>31</v>
      </c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U2" s="9"/>
      <c r="V2" s="9"/>
      <c r="W2" s="9"/>
      <c r="X2" s="9"/>
      <c r="Y2" s="9"/>
      <c r="Z2" s="9"/>
      <c r="AA2" s="9"/>
    </row>
    <row r="3" spans="2:27" ht="15" customHeight="1">
      <c r="B3" s="99" t="s">
        <v>32</v>
      </c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</row>
    <row r="4" spans="2:27">
      <c r="O4" s="7"/>
      <c r="P4" s="7"/>
      <c r="Q4" s="7"/>
    </row>
    <row r="5" spans="2:27">
      <c r="B5" s="6" t="s">
        <v>33</v>
      </c>
      <c r="C5" s="10"/>
      <c r="D5" s="10"/>
      <c r="E5" s="11" t="s">
        <v>256</v>
      </c>
      <c r="F5" s="12"/>
      <c r="G5" s="10"/>
      <c r="K5" s="6"/>
      <c r="L5" s="6"/>
      <c r="M5" s="6" t="s">
        <v>34</v>
      </c>
      <c r="N5" s="6"/>
      <c r="O5" s="100" t="s">
        <v>257</v>
      </c>
      <c r="P5" s="100"/>
      <c r="Q5" s="100"/>
      <c r="R5" s="100"/>
      <c r="S5" s="100"/>
    </row>
    <row r="6" spans="2:27">
      <c r="B6" s="6"/>
      <c r="C6" s="10"/>
      <c r="D6" s="10"/>
      <c r="E6" s="101"/>
      <c r="F6" s="101"/>
      <c r="G6" s="13"/>
      <c r="K6" s="6"/>
      <c r="L6" s="6"/>
      <c r="M6" s="6" t="s">
        <v>35</v>
      </c>
      <c r="N6" s="6"/>
      <c r="O6" s="102">
        <f ca="1">NOW()</f>
        <v>44990.695166666665</v>
      </c>
      <c r="P6" s="102"/>
      <c r="Q6" s="102"/>
      <c r="R6" s="102"/>
      <c r="S6" s="102"/>
    </row>
    <row r="7" spans="2:27">
      <c r="O7" s="7"/>
      <c r="P7" s="7"/>
      <c r="Q7" s="7"/>
      <c r="W7" s="8" t="s">
        <v>36</v>
      </c>
      <c r="X7" s="14">
        <v>1</v>
      </c>
    </row>
    <row r="8" spans="2:27">
      <c r="B8" s="12" t="s">
        <v>37</v>
      </c>
      <c r="O8" s="15"/>
      <c r="P8" s="6"/>
      <c r="Q8" s="5"/>
      <c r="S8" s="5"/>
      <c r="W8" s="8" t="s">
        <v>38</v>
      </c>
      <c r="X8" s="14">
        <v>1.35</v>
      </c>
    </row>
    <row r="9" spans="2:27" ht="8.1" customHeight="1">
      <c r="O9" s="7"/>
      <c r="P9" s="7"/>
      <c r="Q9" s="7"/>
      <c r="W9" s="8" t="s">
        <v>39</v>
      </c>
    </row>
    <row r="10" spans="2:27">
      <c r="C10" s="5" t="s">
        <v>40</v>
      </c>
      <c r="F10" s="94" t="s">
        <v>4</v>
      </c>
      <c r="G10" s="95"/>
      <c r="H10" s="95"/>
      <c r="I10" s="15"/>
      <c r="O10" s="96"/>
      <c r="P10" s="97"/>
      <c r="Q10" s="97"/>
      <c r="R10" s="15"/>
      <c r="W10" s="8" t="s">
        <v>41</v>
      </c>
    </row>
    <row r="11" spans="2:27">
      <c r="C11" s="5" t="s">
        <v>42</v>
      </c>
      <c r="F11" s="103" t="s">
        <v>272</v>
      </c>
      <c r="G11" s="103"/>
      <c r="H11" s="103"/>
      <c r="I11" s="15"/>
      <c r="O11" s="96"/>
      <c r="P11" s="96"/>
      <c r="Q11" s="96"/>
      <c r="R11" s="15"/>
      <c r="W11" s="8" t="s">
        <v>43</v>
      </c>
    </row>
    <row r="12" spans="2:27">
      <c r="C12" s="5" t="s">
        <v>44</v>
      </c>
      <c r="F12" s="104" t="s">
        <v>45</v>
      </c>
      <c r="G12" s="105"/>
      <c r="H12" s="105"/>
      <c r="I12" s="15"/>
      <c r="O12" s="96"/>
      <c r="P12" s="97"/>
      <c r="Q12" s="97"/>
      <c r="R12" s="15"/>
    </row>
    <row r="13" spans="2:27">
      <c r="F13" s="16"/>
      <c r="G13" s="16"/>
      <c r="H13" s="16"/>
      <c r="I13" s="15"/>
      <c r="R13" s="15"/>
    </row>
    <row r="14" spans="2:27">
      <c r="B14" s="12" t="s">
        <v>46</v>
      </c>
      <c r="F14" s="16"/>
      <c r="G14" s="16"/>
      <c r="H14" s="16"/>
      <c r="I14" s="15"/>
      <c r="R14" s="15"/>
    </row>
    <row r="15" spans="2:27" ht="8.1" customHeight="1">
      <c r="F15" s="16"/>
      <c r="G15" s="16"/>
      <c r="H15" s="16"/>
      <c r="I15" s="15"/>
      <c r="R15" s="15"/>
    </row>
    <row r="16" spans="2:27" ht="17.25">
      <c r="C16" s="5" t="s">
        <v>47</v>
      </c>
      <c r="F16" s="106">
        <v>10400</v>
      </c>
      <c r="G16" s="106"/>
      <c r="H16" s="106"/>
      <c r="I16" s="15"/>
      <c r="J16" s="6" t="s">
        <v>3</v>
      </c>
      <c r="O16" s="97"/>
      <c r="P16" s="97"/>
      <c r="Q16" s="97"/>
      <c r="R16" s="15"/>
      <c r="U16" s="17">
        <f>F18+F20+F22</f>
        <v>8400</v>
      </c>
    </row>
    <row r="17" spans="2:19" ht="17.25">
      <c r="C17" s="5" t="s">
        <v>48</v>
      </c>
      <c r="F17" s="107">
        <v>1000</v>
      </c>
      <c r="G17" s="107"/>
      <c r="H17" s="107"/>
      <c r="I17" s="15"/>
      <c r="J17" s="6" t="s">
        <v>3</v>
      </c>
      <c r="O17" s="97"/>
      <c r="P17" s="97"/>
      <c r="Q17" s="97"/>
      <c r="R17" s="15"/>
    </row>
    <row r="18" spans="2:19" ht="17.25">
      <c r="C18" s="5" t="s">
        <v>49</v>
      </c>
      <c r="F18" s="106">
        <v>2000</v>
      </c>
      <c r="G18" s="106"/>
      <c r="H18" s="106"/>
      <c r="I18" s="15"/>
      <c r="J18" s="6" t="s">
        <v>3</v>
      </c>
      <c r="O18" s="97"/>
      <c r="P18" s="97"/>
      <c r="Q18" s="97"/>
      <c r="R18" s="15"/>
    </row>
    <row r="19" spans="2:19" ht="17.25">
      <c r="C19" s="5" t="s">
        <v>50</v>
      </c>
      <c r="F19" s="107">
        <v>1000</v>
      </c>
      <c r="G19" s="107"/>
      <c r="H19" s="107"/>
      <c r="I19" s="15"/>
      <c r="J19" s="6" t="s">
        <v>3</v>
      </c>
      <c r="O19" s="97"/>
      <c r="P19" s="97"/>
      <c r="Q19" s="97"/>
      <c r="R19" s="15"/>
    </row>
    <row r="20" spans="2:19" ht="17.25">
      <c r="C20" s="5" t="s">
        <v>51</v>
      </c>
      <c r="F20" s="106">
        <v>2000</v>
      </c>
      <c r="G20" s="106"/>
      <c r="H20" s="106"/>
      <c r="I20" s="15"/>
      <c r="J20" s="6" t="s">
        <v>3</v>
      </c>
      <c r="O20" s="97"/>
      <c r="P20" s="97"/>
      <c r="Q20" s="97"/>
      <c r="R20" s="15"/>
    </row>
    <row r="21" spans="2:19" ht="17.25">
      <c r="C21" s="5" t="s">
        <v>52</v>
      </c>
      <c r="F21" s="107">
        <v>1000</v>
      </c>
      <c r="G21" s="107"/>
      <c r="H21" s="107"/>
      <c r="I21" s="15"/>
      <c r="J21" s="6" t="s">
        <v>3</v>
      </c>
      <c r="O21" s="97"/>
      <c r="P21" s="97"/>
      <c r="Q21" s="97"/>
      <c r="R21" s="15"/>
    </row>
    <row r="22" spans="2:19" ht="17.25">
      <c r="C22" s="5" t="s">
        <v>53</v>
      </c>
      <c r="F22" s="106">
        <v>4400</v>
      </c>
      <c r="G22" s="106"/>
      <c r="H22" s="106"/>
      <c r="I22" s="15"/>
      <c r="J22" s="6" t="s">
        <v>3</v>
      </c>
      <c r="O22" s="97"/>
      <c r="P22" s="97"/>
      <c r="Q22" s="97"/>
      <c r="R22" s="15"/>
    </row>
    <row r="23" spans="2:19">
      <c r="C23" s="5" t="s">
        <v>54</v>
      </c>
      <c r="F23" s="107">
        <v>40</v>
      </c>
      <c r="G23" s="107"/>
      <c r="H23" s="107"/>
      <c r="I23" s="15"/>
      <c r="J23" s="6" t="s">
        <v>3</v>
      </c>
      <c r="O23" s="97"/>
      <c r="P23" s="97"/>
      <c r="Q23" s="97"/>
      <c r="R23" s="15"/>
    </row>
    <row r="24" spans="2:19">
      <c r="F24" s="16"/>
      <c r="G24" s="16"/>
      <c r="H24" s="16"/>
      <c r="I24" s="15"/>
      <c r="R24" s="15"/>
    </row>
    <row r="25" spans="2:19">
      <c r="B25" s="12" t="s">
        <v>55</v>
      </c>
      <c r="F25" s="16"/>
      <c r="G25" s="16"/>
      <c r="H25" s="16"/>
      <c r="I25" s="15"/>
      <c r="R25" s="15"/>
    </row>
    <row r="26" spans="2:19" ht="8.1" customHeight="1">
      <c r="F26" s="16"/>
      <c r="G26" s="16"/>
      <c r="H26" s="16"/>
      <c r="I26" s="15"/>
      <c r="R26" s="15"/>
    </row>
    <row r="27" spans="2:19" ht="17.25">
      <c r="C27" s="5" t="s">
        <v>56</v>
      </c>
      <c r="F27" s="18" t="s">
        <v>43</v>
      </c>
      <c r="G27" s="19"/>
      <c r="H27" s="20">
        <v>8438.3392000000003</v>
      </c>
      <c r="I27" s="15"/>
      <c r="J27" s="6" t="s">
        <v>57</v>
      </c>
      <c r="O27" s="97"/>
      <c r="P27" s="97"/>
      <c r="Q27" s="97"/>
      <c r="R27" s="15"/>
    </row>
    <row r="28" spans="2:19">
      <c r="C28" s="5" t="s">
        <v>58</v>
      </c>
      <c r="F28" s="109">
        <v>1.35</v>
      </c>
      <c r="G28" s="109"/>
      <c r="H28" s="109"/>
      <c r="I28" s="15"/>
      <c r="O28" s="21"/>
      <c r="P28" s="21"/>
      <c r="Q28" s="21"/>
      <c r="R28" s="15"/>
    </row>
    <row r="29" spans="2:19">
      <c r="F29" s="22"/>
      <c r="G29" s="22"/>
      <c r="H29" s="22"/>
      <c r="I29" s="15"/>
      <c r="O29" s="21"/>
      <c r="P29" s="21"/>
      <c r="Q29" s="21"/>
      <c r="R29" s="15"/>
    </row>
    <row r="30" spans="2:19">
      <c r="B30" s="12" t="s">
        <v>59</v>
      </c>
      <c r="O30" s="5"/>
      <c r="P30" s="5"/>
      <c r="Q30" s="5"/>
    </row>
    <row r="31" spans="2:19" ht="8.1" customHeight="1">
      <c r="B31" s="12"/>
      <c r="O31" s="5"/>
      <c r="P31" s="5"/>
      <c r="Q31" s="5"/>
    </row>
    <row r="32" spans="2:19">
      <c r="B32" s="12"/>
      <c r="C32" s="12" t="s">
        <v>60</v>
      </c>
      <c r="O32" s="5"/>
      <c r="P32" s="5"/>
      <c r="Q32" s="5"/>
      <c r="S32" s="5"/>
    </row>
    <row r="33" spans="2:21" ht="17.25">
      <c r="D33" s="5" t="s">
        <v>61</v>
      </c>
      <c r="O33" s="110">
        <v>55.158079999999998</v>
      </c>
      <c r="P33" s="110"/>
      <c r="Q33" s="110"/>
      <c r="S33" s="6" t="s">
        <v>62</v>
      </c>
    </row>
    <row r="34" spans="2:21" ht="8.1" customHeight="1">
      <c r="O34" s="23"/>
      <c r="P34" s="23"/>
      <c r="Q34" s="23"/>
    </row>
    <row r="35" spans="2:21">
      <c r="C35" s="12" t="s">
        <v>63</v>
      </c>
      <c r="O35" s="24" t="s">
        <v>64</v>
      </c>
      <c r="Q35" s="24" t="s">
        <v>65</v>
      </c>
    </row>
    <row r="36" spans="2:21" ht="17.25">
      <c r="C36" s="12"/>
      <c r="D36" s="5" t="s">
        <v>66</v>
      </c>
      <c r="O36" s="108">
        <v>414</v>
      </c>
      <c r="P36" s="108"/>
      <c r="Q36" s="108"/>
    </row>
    <row r="37" spans="2:21" ht="17.25">
      <c r="D37" s="5" t="s">
        <v>67</v>
      </c>
      <c r="O37" s="25">
        <v>414</v>
      </c>
      <c r="P37" s="22"/>
      <c r="Q37" s="25">
        <v>414</v>
      </c>
      <c r="S37" s="6" t="s">
        <v>62</v>
      </c>
      <c r="U37" s="26">
        <f>60000/145.038</f>
        <v>413.68468952964048</v>
      </c>
    </row>
    <row r="38" spans="2:21" ht="17.25">
      <c r="D38" s="5" t="s">
        <v>68</v>
      </c>
      <c r="O38" s="108">
        <v>414</v>
      </c>
      <c r="P38" s="108"/>
      <c r="Q38" s="108"/>
      <c r="U38" s="26"/>
    </row>
    <row r="39" spans="2:21" ht="17.25">
      <c r="D39" s="5" t="s">
        <v>69</v>
      </c>
      <c r="O39" s="25">
        <v>414</v>
      </c>
      <c r="P39" s="22"/>
      <c r="Q39" s="25">
        <v>414</v>
      </c>
      <c r="S39" s="6" t="s">
        <v>62</v>
      </c>
    </row>
    <row r="40" spans="2:21" ht="17.25">
      <c r="D40" s="5" t="s">
        <v>70</v>
      </c>
      <c r="O40" s="108">
        <v>414</v>
      </c>
      <c r="P40" s="108"/>
      <c r="Q40" s="108"/>
      <c r="S40" s="6" t="s">
        <v>62</v>
      </c>
    </row>
    <row r="41" spans="2:21" ht="17.25">
      <c r="D41" s="5" t="s">
        <v>71</v>
      </c>
      <c r="O41" s="111">
        <v>414</v>
      </c>
      <c r="P41" s="111"/>
      <c r="Q41" s="111"/>
      <c r="S41" s="6" t="s">
        <v>62</v>
      </c>
    </row>
    <row r="42" spans="2:21" ht="15">
      <c r="O42" s="7"/>
      <c r="P42" s="7"/>
      <c r="Q42" s="7"/>
    </row>
    <row r="43" spans="2:21" ht="15">
      <c r="B43" s="12" t="s">
        <v>72</v>
      </c>
      <c r="O43" s="24" t="s">
        <v>73</v>
      </c>
      <c r="Q43" s="24" t="s">
        <v>74</v>
      </c>
    </row>
    <row r="44" spans="2:21" ht="8.1" customHeight="1">
      <c r="B44" s="12"/>
      <c r="O44" s="7"/>
      <c r="P44" s="7"/>
      <c r="Q44" s="7"/>
    </row>
    <row r="45" spans="2:21" ht="15">
      <c r="C45" s="12" t="s">
        <v>75</v>
      </c>
    </row>
    <row r="46" spans="2:21" ht="17.25">
      <c r="D46" s="5" t="s">
        <v>76</v>
      </c>
      <c r="O46" s="111">
        <v>41</v>
      </c>
      <c r="P46" s="111"/>
      <c r="Q46" s="111"/>
    </row>
    <row r="47" spans="2:21" ht="17.25">
      <c r="D47" s="5" t="s">
        <v>77</v>
      </c>
      <c r="O47" s="108">
        <v>25</v>
      </c>
      <c r="P47" s="108"/>
      <c r="Q47" s="108"/>
      <c r="S47" s="6" t="s">
        <v>3</v>
      </c>
    </row>
    <row r="48" spans="2:21" ht="8.1" customHeight="1">
      <c r="B48" s="12"/>
      <c r="O48" s="7"/>
      <c r="P48" s="7"/>
      <c r="Q48" s="7"/>
    </row>
    <row r="49" spans="2:19" ht="15">
      <c r="C49" s="12" t="s">
        <v>78</v>
      </c>
    </row>
    <row r="50" spans="2:19" ht="17.25">
      <c r="D50" s="5" t="s">
        <v>79</v>
      </c>
      <c r="O50" s="25">
        <f>SUMMARY!AG24</f>
        <v>0</v>
      </c>
      <c r="P50" s="22"/>
      <c r="Q50" s="25">
        <f>SUMMARY!AI24</f>
        <v>0</v>
      </c>
    </row>
    <row r="51" spans="2:19" ht="17.25">
      <c r="D51" s="5" t="s">
        <v>80</v>
      </c>
      <c r="O51" s="27">
        <f>SUMMARY!AH24</f>
        <v>0</v>
      </c>
      <c r="P51" s="22"/>
      <c r="Q51" s="27">
        <f>SUMMARY!AJ24</f>
        <v>0</v>
      </c>
    </row>
    <row r="52" spans="2:19" ht="17.25">
      <c r="D52" s="5" t="s">
        <v>81</v>
      </c>
      <c r="O52" s="111">
        <f>SUMMARY!AK24</f>
        <v>0</v>
      </c>
      <c r="P52" s="111"/>
      <c r="Q52" s="111"/>
      <c r="S52" s="6" t="s">
        <v>3</v>
      </c>
    </row>
    <row r="53" spans="2:19" ht="17.25">
      <c r="D53" s="5" t="s">
        <v>82</v>
      </c>
      <c r="O53" s="108">
        <f>SUMMARY!AK24</f>
        <v>0</v>
      </c>
      <c r="P53" s="108"/>
      <c r="Q53" s="108"/>
      <c r="S53" s="6" t="s">
        <v>3</v>
      </c>
    </row>
    <row r="54" spans="2:19" ht="17.25">
      <c r="D54" s="5" t="s">
        <v>83</v>
      </c>
      <c r="O54" s="111">
        <f>SUMMARY!AL24</f>
        <v>0</v>
      </c>
      <c r="P54" s="111"/>
      <c r="Q54" s="111"/>
      <c r="S54" s="6" t="s">
        <v>3</v>
      </c>
    </row>
    <row r="55" spans="2:19" ht="8.1" customHeight="1">
      <c r="B55" s="12"/>
      <c r="O55" s="7"/>
      <c r="P55" s="7"/>
      <c r="Q55" s="7"/>
    </row>
    <row r="56" spans="2:19" ht="15">
      <c r="C56" s="12" t="s">
        <v>84</v>
      </c>
    </row>
    <row r="57" spans="2:19" ht="17.25">
      <c r="D57" s="5" t="s">
        <v>85</v>
      </c>
      <c r="O57" s="111">
        <v>41</v>
      </c>
      <c r="P57" s="111"/>
      <c r="Q57" s="111"/>
    </row>
    <row r="58" spans="2:19" ht="17.25">
      <c r="D58" s="5" t="s">
        <v>86</v>
      </c>
      <c r="O58" s="108">
        <v>25</v>
      </c>
      <c r="P58" s="108"/>
      <c r="Q58" s="108"/>
      <c r="S58" s="6" t="s">
        <v>3</v>
      </c>
    </row>
    <row r="59" spans="2:19" ht="8.1" customHeight="1">
      <c r="B59" s="12"/>
      <c r="O59" s="7"/>
      <c r="P59" s="7"/>
      <c r="Q59" s="7"/>
    </row>
    <row r="60" spans="2:19" ht="15">
      <c r="C60" s="12" t="s">
        <v>87</v>
      </c>
    </row>
    <row r="61" spans="2:19" ht="17.25">
      <c r="D61" s="5" t="s">
        <v>88</v>
      </c>
      <c r="O61" s="25">
        <f>SUMMARY!AM24</f>
        <v>0</v>
      </c>
      <c r="P61" s="22"/>
      <c r="Q61" s="25">
        <f>SUMMARY!AO24</f>
        <v>0</v>
      </c>
    </row>
    <row r="62" spans="2:19" ht="17.25">
      <c r="D62" s="5" t="s">
        <v>89</v>
      </c>
      <c r="O62" s="27">
        <f>SUMMARY!AN24</f>
        <v>0</v>
      </c>
      <c r="P62" s="22"/>
      <c r="Q62" s="27">
        <f>SUMMARY!AP24</f>
        <v>0</v>
      </c>
    </row>
    <row r="63" spans="2:19" ht="17.25">
      <c r="D63" s="5" t="s">
        <v>90</v>
      </c>
      <c r="O63" s="111">
        <f>SUMMARY!AQ24</f>
        <v>0</v>
      </c>
      <c r="P63" s="111"/>
      <c r="Q63" s="111"/>
      <c r="S63" s="6" t="s">
        <v>3</v>
      </c>
    </row>
    <row r="64" spans="2:19" ht="17.25">
      <c r="D64" s="5" t="s">
        <v>91</v>
      </c>
      <c r="O64" s="108">
        <f>SUMMARY!AQ24</f>
        <v>0</v>
      </c>
      <c r="P64" s="108"/>
      <c r="Q64" s="108"/>
      <c r="S64" s="6" t="s">
        <v>3</v>
      </c>
    </row>
    <row r="65" spans="2:19" ht="17.25">
      <c r="D65" s="5" t="s">
        <v>92</v>
      </c>
      <c r="O65" s="111">
        <f>SUMMARY!AR24</f>
        <v>0</v>
      </c>
      <c r="P65" s="111"/>
      <c r="Q65" s="111"/>
      <c r="S65" s="6" t="s">
        <v>3</v>
      </c>
    </row>
    <row r="66" spans="2:19" ht="8.1" customHeight="1">
      <c r="O66" s="22"/>
      <c r="P66" s="22"/>
      <c r="Q66" s="22"/>
    </row>
    <row r="67" spans="2:19" ht="15">
      <c r="C67" s="12" t="s">
        <v>93</v>
      </c>
      <c r="O67" s="7"/>
      <c r="P67" s="7"/>
      <c r="Q67" s="7"/>
    </row>
    <row r="68" spans="2:19" ht="17.25">
      <c r="D68" s="5" t="s">
        <v>94</v>
      </c>
      <c r="O68" s="111">
        <f>SUMMARY!AS24</f>
        <v>0</v>
      </c>
      <c r="P68" s="111"/>
      <c r="Q68" s="111"/>
    </row>
    <row r="69" spans="2:19" ht="17.25">
      <c r="D69" s="5" t="s">
        <v>95</v>
      </c>
      <c r="O69" s="108">
        <f>SUMMARY!AT24</f>
        <v>0</v>
      </c>
      <c r="P69" s="108"/>
      <c r="Q69" s="108"/>
      <c r="S69" s="6" t="s">
        <v>3</v>
      </c>
    </row>
    <row r="70" spans="2:19" ht="17.25">
      <c r="D70" s="5" t="s">
        <v>96</v>
      </c>
      <c r="O70" s="111">
        <f>SUMMARY!AU24</f>
        <v>0</v>
      </c>
      <c r="P70" s="111"/>
      <c r="Q70" s="111"/>
      <c r="S70" s="6" t="s">
        <v>3</v>
      </c>
    </row>
    <row r="71" spans="2:19" ht="17.25">
      <c r="D71" s="5" t="s">
        <v>97</v>
      </c>
      <c r="O71" s="108">
        <f>SUMMARY!AV24</f>
        <v>0</v>
      </c>
      <c r="P71" s="108"/>
      <c r="Q71" s="108"/>
    </row>
    <row r="72" spans="2:19" ht="17.25">
      <c r="D72" s="5" t="s">
        <v>98</v>
      </c>
      <c r="O72" s="111">
        <f>SUMMARY!AW24</f>
        <v>0</v>
      </c>
      <c r="P72" s="111"/>
      <c r="Q72" s="111"/>
      <c r="S72" s="6" t="s">
        <v>3</v>
      </c>
    </row>
    <row r="73" spans="2:19" ht="17.25">
      <c r="D73" s="5" t="s">
        <v>99</v>
      </c>
      <c r="O73" s="108">
        <f>SUMMARY!AX24</f>
        <v>0</v>
      </c>
      <c r="P73" s="108"/>
      <c r="Q73" s="108"/>
      <c r="S73" s="6" t="s">
        <v>3</v>
      </c>
    </row>
    <row r="74" spans="2:19" ht="15">
      <c r="O74" s="7"/>
      <c r="P74" s="7"/>
      <c r="Q74" s="7"/>
    </row>
    <row r="75" spans="2:19" ht="15">
      <c r="B75" s="12" t="s">
        <v>100</v>
      </c>
      <c r="O75" s="28"/>
      <c r="Q75" s="28"/>
    </row>
    <row r="76" spans="2:19" ht="8.1" customHeight="1">
      <c r="B76" s="12"/>
      <c r="O76" s="7"/>
      <c r="P76" s="7"/>
      <c r="Q76" s="7"/>
    </row>
    <row r="77" spans="2:19" ht="15">
      <c r="B77" s="12"/>
      <c r="C77" s="12" t="s">
        <v>101</v>
      </c>
    </row>
    <row r="78" spans="2:19" ht="15">
      <c r="D78" s="5" t="s">
        <v>102</v>
      </c>
      <c r="O78" s="29" t="e">
        <f>IF(Q78&gt;IF(F27="SLE", 0.7, 1), "FAIL", "OK")</f>
        <v>#DIV/0!</v>
      </c>
      <c r="P78" s="30"/>
      <c r="Q78" s="31" t="e">
        <f>H27/O121</f>
        <v>#DIV/0!</v>
      </c>
    </row>
    <row r="79" spans="2:19" ht="8.1" customHeight="1">
      <c r="B79" s="12"/>
      <c r="O79" s="7"/>
      <c r="P79" s="7"/>
      <c r="Q79" s="7"/>
    </row>
    <row r="80" spans="2:19" ht="15">
      <c r="B80" s="12"/>
      <c r="C80" s="12" t="s">
        <v>103</v>
      </c>
      <c r="O80" s="24" t="s">
        <v>73</v>
      </c>
      <c r="Q80" s="24" t="s">
        <v>74</v>
      </c>
    </row>
    <row r="81" spans="2:22" ht="15">
      <c r="D81" s="5" t="s">
        <v>104</v>
      </c>
      <c r="O81" s="23" t="e">
        <f>O100/O98</f>
        <v>#DIV/0!</v>
      </c>
      <c r="P81" s="23"/>
      <c r="Q81" s="23" t="e">
        <f>Q100/Q98</f>
        <v>#DIV/0!</v>
      </c>
    </row>
    <row r="82" spans="2:22" ht="15">
      <c r="D82" s="5" t="s">
        <v>105</v>
      </c>
      <c r="O82" s="32" t="e">
        <f>O106/O104</f>
        <v>#DIV/0!</v>
      </c>
      <c r="P82" s="23"/>
      <c r="Q82" s="32" t="e">
        <f>Q106/Q104</f>
        <v>#DIV/0!</v>
      </c>
    </row>
    <row r="83" spans="2:22" ht="15">
      <c r="D83" s="5" t="s">
        <v>106</v>
      </c>
      <c r="O83" s="113" t="e">
        <f>O125/O124</f>
        <v>#DIV/0!</v>
      </c>
      <c r="P83" s="113"/>
      <c r="Q83" s="113"/>
    </row>
    <row r="84" spans="2:22" ht="15">
      <c r="D84" s="5" t="s">
        <v>107</v>
      </c>
      <c r="O84" s="114" t="e">
        <f>O127/O126</f>
        <v>#DIV/0!</v>
      </c>
      <c r="P84" s="114"/>
      <c r="Q84" s="114"/>
    </row>
    <row r="85" spans="2:22" ht="8.1" customHeight="1">
      <c r="O85" s="23"/>
      <c r="P85" s="23"/>
      <c r="Q85" s="23"/>
    </row>
    <row r="86" spans="2:22" ht="15">
      <c r="B86" s="12"/>
      <c r="C86" s="12" t="s">
        <v>108</v>
      </c>
      <c r="O86" s="7"/>
      <c r="P86" s="7"/>
      <c r="Q86" s="7"/>
      <c r="U86" s="33" t="s">
        <v>109</v>
      </c>
      <c r="V86" s="33" t="s">
        <v>110</v>
      </c>
    </row>
    <row r="87" spans="2:22" ht="15">
      <c r="D87" s="5" t="s">
        <v>111</v>
      </c>
      <c r="O87" s="112" t="str">
        <f>IF(AND(U87="O", V87="O"), "OK", IF(AND(U87="X", V87="X"), "BOTH BE1 &amp; BE2", IF(U87="X", "BE1", "BE2")))</f>
        <v>OK</v>
      </c>
      <c r="P87" s="112"/>
      <c r="Q87" s="112"/>
      <c r="T87" s="5" t="b">
        <f>ISNUMBER(SEARCH(O87,"BE1"))</f>
        <v>0</v>
      </c>
      <c r="U87" s="33" t="str">
        <f>IF((MIN((F17-2*F23-2*O52-O47)/(2+Q51-1), (F18-2*F23-2*O52-O47)/(2+O51-1))-O47)&gt;MAX(40, 1.5*O47), "O", "X")</f>
        <v>O</v>
      </c>
      <c r="V87" s="33" t="str">
        <f>IF((MIN((F19-2*F23-2*O63-O58)/(2+Q62-1), (F20-2*F23-2*O63-O58)/(2+O62-1))-O58)&gt;MAX(40, 1.5*O58), "O", "X")</f>
        <v>O</v>
      </c>
    </row>
    <row r="88" spans="2:22" ht="15">
      <c r="D88" s="5" t="s">
        <v>112</v>
      </c>
      <c r="O88" s="115" t="str">
        <f>IF(AND(U88="O", V88="O"), "OK", IF(AND(U88="X", V88="X"), "BOTH BE1 &amp; BE2", IF(U88="X", "BE1", "BE2")))</f>
        <v>BOTH BE1 &amp; BE2</v>
      </c>
      <c r="P88" s="115"/>
      <c r="Q88" s="115"/>
      <c r="T88" s="5" t="b">
        <f>ISNUMBER(SEARCH(O88,"BE1"))</f>
        <v>0</v>
      </c>
      <c r="U88" s="33" t="str">
        <f>IF(O99&lt;=MIN(350, 2/3*MIN(F17, F18)), "O", "X")</f>
        <v>X</v>
      </c>
      <c r="V88" s="33" t="str">
        <f>IF(O105&lt;=MIN(350, 2/3*MIN(F17, F18)), "O", "X")</f>
        <v>X</v>
      </c>
    </row>
    <row r="89" spans="2:22" ht="15">
      <c r="D89" s="5" t="s">
        <v>113</v>
      </c>
      <c r="O89" s="112" t="str">
        <f>IF(AND(U89="O", V89="O"), "OK", IF(AND(U89="X", V89="X"), "BOTH BE1 &amp; BE2", IF(U89="X", "BE1", "BE2")))</f>
        <v>BOTH BE1 &amp; BE2</v>
      </c>
      <c r="P89" s="112"/>
      <c r="Q89" s="112"/>
      <c r="T89" s="5" t="b">
        <f>ISNUMBER(SEARCH(O89,"BE1"))</f>
        <v>0</v>
      </c>
      <c r="U89" s="33" t="str">
        <f>IF(MIN(O52, O53)&gt;IF(O47&gt;32, 12, 10), "O", "X")</f>
        <v>X</v>
      </c>
      <c r="V89" s="33" t="str">
        <f>IF(MIN(O63, O64)&gt;IF(O58&gt;32, 12, 10), "O", "X")</f>
        <v>X</v>
      </c>
    </row>
    <row r="90" spans="2:22" ht="15">
      <c r="D90" s="5" t="s">
        <v>114</v>
      </c>
      <c r="O90" s="115" t="str">
        <f>IF(AND(U90="O", V90="O"), "OK", IF(AND(U90="X", V90="X"), "BOTH BE1 &amp; BE2", IF(U90="X", "BE1", "BE2")))</f>
        <v>OK</v>
      </c>
      <c r="P90" s="115"/>
      <c r="Q90" s="115"/>
      <c r="T90" s="5" t="b">
        <f>ISNUMBER(SEARCH(O90,"BE1"))</f>
        <v>0</v>
      </c>
      <c r="U90" s="33" t="str">
        <f>IF(O54&lt;=O101, "O", "X")</f>
        <v>O</v>
      </c>
      <c r="V90" s="33" t="str">
        <f>IF(O65&lt;=O107, "O", "X")</f>
        <v>O</v>
      </c>
    </row>
    <row r="91" spans="2:22" ht="15">
      <c r="D91" s="5" t="s">
        <v>115</v>
      </c>
      <c r="O91" s="112" t="str">
        <f>IF(O70&lt;MIN(450, 3*F21, F22/3), "OK", "NOT OK")</f>
        <v>OK</v>
      </c>
      <c r="P91" s="112"/>
      <c r="Q91" s="112"/>
      <c r="T91" s="5">
        <f>MIN(450, 3*F21, F22/3)</f>
        <v>450</v>
      </c>
    </row>
    <row r="92" spans="2:22" ht="15">
      <c r="D92" s="5" t="s">
        <v>116</v>
      </c>
      <c r="O92" s="115" t="str">
        <f>IF(O73&lt;MIN(450, 3*F21, F22/5), "OK", "NOT OK")</f>
        <v>OK</v>
      </c>
      <c r="P92" s="115"/>
      <c r="Q92" s="115"/>
      <c r="T92" s="5">
        <f>MIN(450, 3*F21, F22/5)</f>
        <v>450</v>
      </c>
    </row>
    <row r="93" spans="2:22" ht="15">
      <c r="D93" s="5" t="s">
        <v>117</v>
      </c>
      <c r="O93" s="112" t="str">
        <f>IF(AND(U93="O", V93="O"), "OK", IF(AND(U93="X", V93="X"), "NOT OK", IF(U93="X", "LONG.", "TRANS.")))</f>
        <v>NOT OK</v>
      </c>
      <c r="P93" s="112"/>
      <c r="Q93" s="112"/>
      <c r="U93" s="33" t="str">
        <f>IF(O68&gt;=IF(AND(H27&gt;V126, F16/U16&gt;=2), 2, 1), "O", "X")</f>
        <v>X</v>
      </c>
      <c r="V93" s="33" t="str">
        <f>IF(O71&gt;=IF(AND(H27&gt;V126, F16/U16&gt;=2), 2, 1), "O", "X")</f>
        <v>X</v>
      </c>
    </row>
    <row r="94" spans="2:22" ht="15">
      <c r="O94" s="7"/>
      <c r="P94" s="7"/>
      <c r="Q94" s="7"/>
    </row>
    <row r="95" spans="2:22" ht="15">
      <c r="B95" s="12" t="s">
        <v>118</v>
      </c>
      <c r="O95" s="24" t="s">
        <v>73</v>
      </c>
      <c r="Q95" s="24" t="s">
        <v>74</v>
      </c>
    </row>
    <row r="96" spans="2:22" ht="8.1" customHeight="1">
      <c r="B96" s="12"/>
      <c r="O96" s="7"/>
      <c r="P96" s="7"/>
      <c r="Q96" s="7"/>
    </row>
    <row r="97" spans="2:23" ht="15">
      <c r="C97" s="12" t="s">
        <v>78</v>
      </c>
    </row>
    <row r="98" spans="2:23" ht="17.25">
      <c r="D98" s="5" t="s">
        <v>119</v>
      </c>
      <c r="O98" s="34" t="e">
        <f>((O50*0.25*PI()*O52^2)+(O51*0.25*PI()*O53^2))/O54/(F18-2*F23)</f>
        <v>#DIV/0!</v>
      </c>
      <c r="P98" s="23"/>
      <c r="Q98" s="34" t="e">
        <f>((Q50*0.25*PI()*O52^2)+(Q51*0.25*PI()*O53^2))/O54/(F17-2*F23)</f>
        <v>#DIV/0!</v>
      </c>
      <c r="U98" s="8" t="s">
        <v>250</v>
      </c>
      <c r="V98" s="8" t="s">
        <v>251</v>
      </c>
      <c r="W98" s="8" t="s">
        <v>252</v>
      </c>
    </row>
    <row r="99" spans="2:23" ht="17.25">
      <c r="D99" s="5" t="s">
        <v>120</v>
      </c>
      <c r="O99" s="113">
        <f>MAX(((F18-2*F23-2*O52-O47)/(2+O51-1)), ((F17-2*F23-2*O52-O47)/(2+Q51-1)))</f>
        <v>1895</v>
      </c>
      <c r="P99" s="113"/>
      <c r="Q99" s="113"/>
      <c r="S99" s="6" t="s">
        <v>3</v>
      </c>
      <c r="U99" s="8">
        <f>((F18-2*F23-2*O52-O47)/(2+O51-1))</f>
        <v>1895</v>
      </c>
      <c r="V99" s="8">
        <f xml:space="preserve"> ((F17-2*F23-2*O52-O47)/(2+Q51-1))</f>
        <v>895</v>
      </c>
      <c r="W99" s="8">
        <f>MIN(350, 2/3*MIN(F17, F18))</f>
        <v>350</v>
      </c>
    </row>
    <row r="100" spans="2:23" ht="17.25">
      <c r="D100" s="5" t="s">
        <v>121</v>
      </c>
      <c r="O100" s="34">
        <f>MAX((0.3*(F17*F18/(F17-2*F23)/(F18-2*F23)-1)*O33/MIN(O37, Q37)), (0.09*O33/MIN(O37, Q37)))</f>
        <v>1.1990886956521739E-2</v>
      </c>
      <c r="P100" s="35"/>
      <c r="Q100" s="34" t="e">
        <f>MAX((0.3*(F17*F18/(F17-2*F23)/(F18-2*F23)-1)*O33/MIN(O37, Q37)), (0.09*O33/MIN(O37, Q37)), (O71*0.25*PI()*O72^2/O73/(F17-2*F23)))</f>
        <v>#DIV/0!</v>
      </c>
    </row>
    <row r="101" spans="2:23" ht="17.25">
      <c r="D101" s="5" t="s">
        <v>122</v>
      </c>
      <c r="O101" s="113">
        <f>MIN((MIN(F17, F18))/3, IF(O36&gt;420, 5*O47, 6*O47), MAX((100+(350-O99)/3), 100), 150)</f>
        <v>100</v>
      </c>
      <c r="P101" s="113"/>
      <c r="Q101" s="113"/>
      <c r="S101" s="6" t="s">
        <v>3</v>
      </c>
    </row>
    <row r="102" spans="2:23" ht="8.1" customHeight="1">
      <c r="B102" s="12"/>
      <c r="O102" s="7"/>
      <c r="P102" s="7"/>
      <c r="Q102" s="7"/>
    </row>
    <row r="103" spans="2:23" ht="15">
      <c r="C103" s="12" t="s">
        <v>87</v>
      </c>
    </row>
    <row r="104" spans="2:23" ht="17.25">
      <c r="D104" s="5" t="s">
        <v>123</v>
      </c>
      <c r="O104" s="34" t="e">
        <f>((O61*0.25*PI()*O63^2)+(O62*0.25*PI()*O64^2))/O65/(F20-2*F23)</f>
        <v>#DIV/0!</v>
      </c>
      <c r="P104" s="23"/>
      <c r="Q104" s="34" t="e">
        <f>((Q61*0.25*PI()*O63^2)+(Q62*0.25*PI()*O64^2))/O65/(F19-2*F23)</f>
        <v>#DIV/0!</v>
      </c>
      <c r="U104" s="8" t="s">
        <v>250</v>
      </c>
      <c r="V104" s="8" t="s">
        <v>251</v>
      </c>
      <c r="W104" s="8" t="s">
        <v>252</v>
      </c>
    </row>
    <row r="105" spans="2:23" ht="17.25">
      <c r="D105" s="5" t="s">
        <v>124</v>
      </c>
      <c r="O105" s="113">
        <f>MAX(((F20-2*F23-2*O63-O58)/(2+O62-1)), ((F19-2*F23-2*O63-O58)/(2+Q62-1)))</f>
        <v>1895</v>
      </c>
      <c r="P105" s="113"/>
      <c r="Q105" s="113"/>
      <c r="S105" s="6" t="s">
        <v>3</v>
      </c>
      <c r="U105" s="8">
        <f>((F20-2*F23-2*O63-O58)/(2+O62-1))</f>
        <v>1895</v>
      </c>
      <c r="V105" s="8">
        <f xml:space="preserve"> ((F19-2*F23-2*O63-O58)/(2+Q62-1))</f>
        <v>895</v>
      </c>
      <c r="W105" s="8">
        <f>MIN(350, 2/3*MIN(F17, F18))</f>
        <v>350</v>
      </c>
    </row>
    <row r="106" spans="2:23" ht="17.25">
      <c r="D106" s="5" t="s">
        <v>125</v>
      </c>
      <c r="O106" s="34">
        <f>MAX((0.3*(F19*F20/(F19-2*F23)/(F20-2*F23)-1)*O33/MIN(O39, Q39)), (0.09*O33/MIN(O39, Q39)))</f>
        <v>1.1990886956521739E-2</v>
      </c>
      <c r="P106" s="35"/>
      <c r="Q106" s="34" t="e">
        <f>MAX((0.3*(F19*F20/(F19-2*F23)/(F20-2*F23)-1)*O33/MIN(O39, Q39)), (0.09*O33/MIN(O39, Q39)), (O71*0.25*PI()*O72^2/O73/(F19-2*F23)))</f>
        <v>#DIV/0!</v>
      </c>
    </row>
    <row r="107" spans="2:23" ht="17.25">
      <c r="D107" s="5" t="s">
        <v>126</v>
      </c>
      <c r="O107" s="113">
        <f>MIN((MIN(F19, F20))/3, IF(O38&gt;420, 5*O58, 6*O58), MAX((100+(350-O105)/3), 100), 150)</f>
        <v>100</v>
      </c>
      <c r="P107" s="113"/>
      <c r="Q107" s="113"/>
      <c r="S107" s="6" t="s">
        <v>3</v>
      </c>
    </row>
    <row r="108" spans="2:23" ht="8.1" customHeight="1">
      <c r="O108" s="23"/>
      <c r="P108" s="23"/>
      <c r="Q108" s="23"/>
    </row>
    <row r="109" spans="2:23" ht="15">
      <c r="C109" s="12" t="s">
        <v>127</v>
      </c>
      <c r="O109" s="7"/>
      <c r="P109" s="7"/>
      <c r="Q109" s="7"/>
    </row>
    <row r="110" spans="2:23" ht="15">
      <c r="C110" s="12"/>
      <c r="D110" s="5" t="s">
        <v>128</v>
      </c>
      <c r="O110" s="7"/>
      <c r="P110" s="7"/>
      <c r="Q110" s="7"/>
    </row>
    <row r="111" spans="2:23" ht="18">
      <c r="E111" s="5" t="s">
        <v>129</v>
      </c>
      <c r="O111" s="116">
        <f>(F17*F18)+(F19*F20)+(F21*F22)</f>
        <v>8400000</v>
      </c>
      <c r="P111" s="116"/>
      <c r="Q111" s="116"/>
      <c r="S111" s="6" t="s">
        <v>130</v>
      </c>
    </row>
    <row r="112" spans="2:23" ht="17.25">
      <c r="E112" s="5" t="s">
        <v>131</v>
      </c>
      <c r="O112" s="113">
        <f>IF(F16/U16&lt;=1.5, 0.25, IF(F16/U16&gt;=2, 0.17, 0.49-0.16*(F16/U16)))</f>
        <v>0.25</v>
      </c>
      <c r="P112" s="113"/>
      <c r="Q112" s="113"/>
    </row>
    <row r="113" spans="2:22" ht="17.25" customHeight="1">
      <c r="O113" s="23"/>
      <c r="P113" s="23"/>
      <c r="Q113" s="23"/>
    </row>
    <row r="114" spans="2:22" ht="17.25">
      <c r="E114" s="5" t="s">
        <v>132</v>
      </c>
      <c r="O114" s="105" t="e">
        <f>O111*(O112*SQRT(IF(F27="MCE", 1.3, 1)*O33)+O126*IF(F27="MCE", 1.17, 1)*O41)/1000</f>
        <v>#DIV/0!</v>
      </c>
      <c r="P114" s="105"/>
      <c r="Q114" s="105"/>
      <c r="S114" s="6" t="s">
        <v>57</v>
      </c>
    </row>
    <row r="115" spans="2:22" ht="15">
      <c r="D115" s="5" t="s">
        <v>133</v>
      </c>
      <c r="O115" s="21"/>
      <c r="P115" s="21"/>
      <c r="Q115" s="21"/>
    </row>
    <row r="116" spans="2:22" ht="17.25" customHeight="1">
      <c r="O116" s="21"/>
      <c r="P116" s="21"/>
      <c r="Q116" s="21"/>
    </row>
    <row r="117" spans="2:22" ht="17.25">
      <c r="E117" s="5" t="s">
        <v>134</v>
      </c>
      <c r="O117" s="105">
        <f>0.83*O111*SQRT(IF(F27="MCE", 1.3, 1)*O33)/1000</f>
        <v>59038.270262153994</v>
      </c>
      <c r="P117" s="105"/>
      <c r="Q117" s="105"/>
      <c r="S117" s="6" t="s">
        <v>57</v>
      </c>
    </row>
    <row r="118" spans="2:22" ht="15">
      <c r="O118" s="21"/>
      <c r="P118" s="21"/>
      <c r="Q118" s="21"/>
    </row>
    <row r="119" spans="2:22" ht="17.25">
      <c r="D119" s="5" t="s">
        <v>135</v>
      </c>
      <c r="L119" s="113"/>
      <c r="M119" s="113"/>
      <c r="O119" s="105" t="e">
        <f>MIN(O114, O117)</f>
        <v>#DIV/0!</v>
      </c>
      <c r="P119" s="105"/>
      <c r="Q119" s="105"/>
      <c r="S119" s="6" t="s">
        <v>57</v>
      </c>
    </row>
    <row r="120" spans="2:22" ht="17.25">
      <c r="D120" s="5" t="s">
        <v>136</v>
      </c>
      <c r="O120" s="97">
        <f>IF(F27="MCE", 0.75, IF(F27="SLE", 1, 0.6))</f>
        <v>0.75</v>
      </c>
      <c r="P120" s="97"/>
      <c r="Q120" s="97"/>
    </row>
    <row r="121" spans="2:22" ht="17.25">
      <c r="D121" s="5" t="s">
        <v>137</v>
      </c>
      <c r="O121" s="105" t="e">
        <f>O120*O119*F28</f>
        <v>#DIV/0!</v>
      </c>
      <c r="P121" s="105"/>
      <c r="Q121" s="105"/>
      <c r="S121" s="6" t="s">
        <v>57</v>
      </c>
    </row>
    <row r="122" spans="2:22" ht="8.1" customHeight="1">
      <c r="B122" s="12"/>
      <c r="O122" s="7"/>
      <c r="P122" s="7"/>
      <c r="Q122" s="7"/>
    </row>
    <row r="123" spans="2:22" ht="15">
      <c r="C123" s="12" t="s">
        <v>138</v>
      </c>
    </row>
    <row r="124" spans="2:22" ht="17.25">
      <c r="D124" s="5" t="s">
        <v>139</v>
      </c>
      <c r="O124" s="117" t="e">
        <f>O68*0.25*PI()*O69^2/O70/F21</f>
        <v>#DIV/0!</v>
      </c>
      <c r="P124" s="117"/>
      <c r="Q124" s="117"/>
      <c r="U124" s="36" t="s">
        <v>140</v>
      </c>
      <c r="V124" s="8">
        <f>0.083*O111*SQRT(IF(F27="MCE", 1.3, 1)*O33)/1000</f>
        <v>5903.8270262153983</v>
      </c>
    </row>
    <row r="125" spans="2:22" ht="17.25">
      <c r="D125" s="5" t="s">
        <v>141</v>
      </c>
      <c r="O125" s="118" t="e">
        <f>IF(F16/U16&lt;=2, O126, IF(H27&gt;=V124, 0.0025, IF(H27&lt;=V125, IF(AND(O69&lt;=16, O40&gt;=U37), 0.0012, 0.0015), IF(AND(O69&lt;=16, O40&gt;=U37), 0.002, 0.0025))))</f>
        <v>#DIV/0!</v>
      </c>
      <c r="P125" s="118"/>
      <c r="Q125" s="118"/>
      <c r="U125" s="37" t="s">
        <v>142</v>
      </c>
      <c r="V125" s="8">
        <f>0.5*O120*0.17*SQRT(IF(F27="MCE", 1.3, 1)*O33)*(O111/U16)*0.8*U16/1000</f>
        <v>3627.6527510480164</v>
      </c>
    </row>
    <row r="126" spans="2:22" ht="17.25">
      <c r="D126" s="5" t="s">
        <v>143</v>
      </c>
      <c r="O126" s="117" t="e">
        <f>O71*0.25*PI()*O72^2/O73/F21</f>
        <v>#DIV/0!</v>
      </c>
      <c r="P126" s="117"/>
      <c r="Q126" s="117"/>
      <c r="U126" s="8" t="s">
        <v>144</v>
      </c>
      <c r="V126" s="8">
        <f>0.17*O111*SQRT(IF(F27="MCE", 1.3, 1)*O33)/1000</f>
        <v>12092.175836826722</v>
      </c>
    </row>
    <row r="127" spans="2:22" ht="17.25">
      <c r="D127" s="5" t="s">
        <v>145</v>
      </c>
      <c r="O127" s="118">
        <f>IF(H27&gt;=V124, 0.0025, IF(H27&lt;=V125, IF(AND(O72&lt;=16, O41&gt;=U37), 0.002, 0.0025), 0.0025))</f>
        <v>2.5000000000000001E-3</v>
      </c>
      <c r="P127" s="118"/>
      <c r="Q127" s="118"/>
    </row>
    <row r="128" spans="2:22" ht="8.1" customHeight="1">
      <c r="O128" s="23"/>
      <c r="P128" s="23"/>
      <c r="Q128" s="23"/>
    </row>
  </sheetData>
  <mergeCells count="75">
    <mergeCell ref="O126:Q126"/>
    <mergeCell ref="O127:Q127"/>
    <mergeCell ref="L119:M119"/>
    <mergeCell ref="O119:Q119"/>
    <mergeCell ref="O120:Q120"/>
    <mergeCell ref="O121:Q121"/>
    <mergeCell ref="O124:Q124"/>
    <mergeCell ref="O125:Q125"/>
    <mergeCell ref="O117:Q117"/>
    <mergeCell ref="O90:Q90"/>
    <mergeCell ref="O91:Q91"/>
    <mergeCell ref="O92:Q92"/>
    <mergeCell ref="O93:Q93"/>
    <mergeCell ref="O99:Q99"/>
    <mergeCell ref="O101:Q101"/>
    <mergeCell ref="O105:Q105"/>
    <mergeCell ref="O107:Q107"/>
    <mergeCell ref="O111:Q111"/>
    <mergeCell ref="O112:Q112"/>
    <mergeCell ref="O114:Q114"/>
    <mergeCell ref="O89:Q89"/>
    <mergeCell ref="O65:Q65"/>
    <mergeCell ref="O68:Q68"/>
    <mergeCell ref="O69:Q69"/>
    <mergeCell ref="O70:Q70"/>
    <mergeCell ref="O71:Q71"/>
    <mergeCell ref="O72:Q72"/>
    <mergeCell ref="O73:Q73"/>
    <mergeCell ref="O83:Q83"/>
    <mergeCell ref="O84:Q84"/>
    <mergeCell ref="O87:Q87"/>
    <mergeCell ref="O88:Q88"/>
    <mergeCell ref="O64:Q64"/>
    <mergeCell ref="O38:Q38"/>
    <mergeCell ref="O40:Q40"/>
    <mergeCell ref="O41:Q41"/>
    <mergeCell ref="O46:Q46"/>
    <mergeCell ref="O47:Q47"/>
    <mergeCell ref="O52:Q52"/>
    <mergeCell ref="O53:Q53"/>
    <mergeCell ref="O54:Q54"/>
    <mergeCell ref="O57:Q57"/>
    <mergeCell ref="O58:Q58"/>
    <mergeCell ref="O63:Q63"/>
    <mergeCell ref="O36:Q36"/>
    <mergeCell ref="F20:H20"/>
    <mergeCell ref="O20:Q20"/>
    <mergeCell ref="F21:H21"/>
    <mergeCell ref="O21:Q21"/>
    <mergeCell ref="F22:H22"/>
    <mergeCell ref="O22:Q22"/>
    <mergeCell ref="F23:H23"/>
    <mergeCell ref="O23:Q23"/>
    <mergeCell ref="O27:Q27"/>
    <mergeCell ref="F28:H28"/>
    <mergeCell ref="O33:Q33"/>
    <mergeCell ref="F17:H17"/>
    <mergeCell ref="O17:Q17"/>
    <mergeCell ref="F18:H18"/>
    <mergeCell ref="O18:Q18"/>
    <mergeCell ref="F19:H19"/>
    <mergeCell ref="O19:Q19"/>
    <mergeCell ref="F11:H11"/>
    <mergeCell ref="O11:Q11"/>
    <mergeCell ref="F12:H12"/>
    <mergeCell ref="O12:Q12"/>
    <mergeCell ref="F16:H16"/>
    <mergeCell ref="O16:Q16"/>
    <mergeCell ref="F10:H10"/>
    <mergeCell ref="O10:Q10"/>
    <mergeCell ref="B2:S2"/>
    <mergeCell ref="B3:S3"/>
    <mergeCell ref="O5:S5"/>
    <mergeCell ref="E6:F6"/>
    <mergeCell ref="O6:S6"/>
  </mergeCells>
  <conditionalFormatting sqref="O83">
    <cfRule type="expression" dxfId="14" priority="15">
      <formula>O83&gt;1</formula>
    </cfRule>
  </conditionalFormatting>
  <conditionalFormatting sqref="Q81">
    <cfRule type="expression" dxfId="13" priority="10">
      <formula>Q81&gt;1</formula>
    </cfRule>
  </conditionalFormatting>
  <conditionalFormatting sqref="O84">
    <cfRule type="expression" dxfId="12" priority="14">
      <formula>O84&gt;1</formula>
    </cfRule>
  </conditionalFormatting>
  <conditionalFormatting sqref="Q82">
    <cfRule type="expression" dxfId="11" priority="8">
      <formula>Q82&gt;1</formula>
    </cfRule>
  </conditionalFormatting>
  <conditionalFormatting sqref="O78">
    <cfRule type="expression" dxfId="10" priority="13">
      <formula>O78&lt;&gt;"OK"</formula>
    </cfRule>
  </conditionalFormatting>
  <conditionalFormatting sqref="Q78">
    <cfRule type="expression" dxfId="9" priority="12">
      <formula>O78&lt;&gt;"OK"</formula>
    </cfRule>
  </conditionalFormatting>
  <conditionalFormatting sqref="O81">
    <cfRule type="expression" dxfId="8" priority="11">
      <formula>O81&gt;1</formula>
    </cfRule>
  </conditionalFormatting>
  <conditionalFormatting sqref="O82">
    <cfRule type="expression" dxfId="7" priority="9">
      <formula>O82&gt;1</formula>
    </cfRule>
  </conditionalFormatting>
  <conditionalFormatting sqref="O87:Q87">
    <cfRule type="expression" dxfId="6" priority="7">
      <formula>O87&lt;&gt;"OK"</formula>
    </cfRule>
  </conditionalFormatting>
  <conditionalFormatting sqref="O88:Q88">
    <cfRule type="expression" dxfId="5" priority="6">
      <formula>O88&lt;&gt;"OK"</formula>
    </cfRule>
  </conditionalFormatting>
  <conditionalFormatting sqref="O89:Q89">
    <cfRule type="expression" dxfId="4" priority="5">
      <formula>O89&lt;&gt;"OK"</formula>
    </cfRule>
  </conditionalFormatting>
  <conditionalFormatting sqref="O90:Q90">
    <cfRule type="expression" dxfId="3" priority="4">
      <formula>O90&lt;&gt;"OK"</formula>
    </cfRule>
  </conditionalFormatting>
  <conditionalFormatting sqref="O91:Q91">
    <cfRule type="expression" dxfId="2" priority="3">
      <formula>O91&lt;&gt;"OK"</formula>
    </cfRule>
  </conditionalFormatting>
  <conditionalFormatting sqref="O92:Q92">
    <cfRule type="expression" dxfId="1" priority="2">
      <formula>O92&lt;&gt;"OK"</formula>
    </cfRule>
  </conditionalFormatting>
  <conditionalFormatting sqref="O93:Q93">
    <cfRule type="expression" dxfId="0" priority="1">
      <formula>O93&lt;&gt;"OK"</formula>
    </cfRule>
  </conditionalFormatting>
  <dataValidations disablePrompts="1" count="2">
    <dataValidation type="list" allowBlank="1" showInputMessage="1" showErrorMessage="1" sqref="F28:H28">
      <formula1>$X$7:$X$8</formula1>
    </dataValidation>
    <dataValidation type="list" allowBlank="1" showInputMessage="1" showErrorMessage="1" sqref="F27">
      <formula1>$W$7:$W$11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LoadData">
          <controlPr defaultSize="0" autoLine="0" autoPict="0" r:id="rId4">
            <anchor moveWithCells="1">
              <from>
                <xdr:col>14</xdr:col>
                <xdr:colOff>371475</xdr:colOff>
                <xdr:row>1</xdr:row>
                <xdr:rowOff>19050</xdr:rowOff>
              </from>
              <to>
                <xdr:col>26</xdr:col>
                <xdr:colOff>152400</xdr:colOff>
                <xdr:row>2</xdr:row>
                <xdr:rowOff>161925</xdr:rowOff>
              </to>
            </anchor>
          </controlPr>
        </control>
      </mc:Choice>
      <mc:Fallback>
        <control shapeId="1026" r:id="rId3" name="Load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568"/>
  <sheetViews>
    <sheetView workbookViewId="0">
      <selection activeCell="D3" sqref="D3:D568"/>
    </sheetView>
  </sheetViews>
  <sheetFormatPr defaultRowHeight="15"/>
  <cols>
    <col min="1" max="3" width="12.7109375" customWidth="1"/>
  </cols>
  <sheetData>
    <row r="1" spans="1:4">
      <c r="A1" s="119" t="s">
        <v>146</v>
      </c>
      <c r="B1" s="120"/>
      <c r="C1" s="40" t="s">
        <v>147</v>
      </c>
    </row>
    <row r="2" spans="1:4" ht="15.75" thickBot="1">
      <c r="A2" s="41" t="s">
        <v>148</v>
      </c>
      <c r="B2" s="42" t="s">
        <v>28</v>
      </c>
      <c r="C2" s="43" t="s">
        <v>57</v>
      </c>
    </row>
    <row r="3" spans="1:4">
      <c r="A3" s="44" t="s">
        <v>149</v>
      </c>
      <c r="B3" s="45" t="s">
        <v>29</v>
      </c>
      <c r="C3" s="46">
        <v>4446.3738000000003</v>
      </c>
      <c r="D3" t="str">
        <f>CONCATENATE(A3,B3)</f>
        <v>MCRMP1</v>
      </c>
    </row>
    <row r="4" spans="1:4">
      <c r="A4" s="47" t="s">
        <v>150</v>
      </c>
      <c r="B4" s="48" t="s">
        <v>29</v>
      </c>
      <c r="C4" s="49">
        <v>8438.3392000000003</v>
      </c>
      <c r="D4" s="50" t="str">
        <f t="shared" ref="D4:D67" si="0">CONCATENATE(A4,B4)</f>
        <v>RDP1</v>
      </c>
    </row>
    <row r="5" spans="1:4">
      <c r="A5" s="47" t="s">
        <v>22</v>
      </c>
      <c r="B5" s="48" t="s">
        <v>29</v>
      </c>
      <c r="C5" s="49">
        <v>10648.711799999999</v>
      </c>
      <c r="D5" s="50" t="str">
        <f t="shared" si="0"/>
        <v>L50P1</v>
      </c>
    </row>
    <row r="6" spans="1:4">
      <c r="A6" s="47" t="s">
        <v>151</v>
      </c>
      <c r="B6" s="48" t="s">
        <v>29</v>
      </c>
      <c r="C6" s="49">
        <v>11918.132</v>
      </c>
      <c r="D6" s="50" t="str">
        <f t="shared" si="0"/>
        <v>L49P1</v>
      </c>
    </row>
    <row r="7" spans="1:4">
      <c r="A7" s="47" t="s">
        <v>152</v>
      </c>
      <c r="B7" s="48" t="s">
        <v>29</v>
      </c>
      <c r="C7" s="49">
        <v>12737.9589</v>
      </c>
      <c r="D7" s="50" t="str">
        <f t="shared" si="0"/>
        <v>L48P1</v>
      </c>
    </row>
    <row r="8" spans="1:4">
      <c r="A8" s="47" t="s">
        <v>153</v>
      </c>
      <c r="B8" s="48" t="s">
        <v>29</v>
      </c>
      <c r="C8" s="49">
        <v>13218.3814</v>
      </c>
      <c r="D8" s="50" t="str">
        <f t="shared" si="0"/>
        <v>L47P1</v>
      </c>
    </row>
    <row r="9" spans="1:4">
      <c r="A9" s="47" t="s">
        <v>21</v>
      </c>
      <c r="B9" s="48" t="s">
        <v>29</v>
      </c>
      <c r="C9" s="49">
        <v>13515.8199</v>
      </c>
      <c r="D9" s="50" t="str">
        <f t="shared" si="0"/>
        <v>L46P1</v>
      </c>
    </row>
    <row r="10" spans="1:4">
      <c r="A10" s="47" t="s">
        <v>154</v>
      </c>
      <c r="B10" s="48" t="s">
        <v>29</v>
      </c>
      <c r="C10" s="49">
        <v>13685.698700000001</v>
      </c>
      <c r="D10" s="50" t="str">
        <f t="shared" si="0"/>
        <v>L45P1</v>
      </c>
    </row>
    <row r="11" spans="1:4">
      <c r="A11" s="47" t="s">
        <v>155</v>
      </c>
      <c r="B11" s="48" t="s">
        <v>29</v>
      </c>
      <c r="C11" s="49">
        <v>13768.654</v>
      </c>
      <c r="D11" s="50" t="str">
        <f t="shared" si="0"/>
        <v>L44P1</v>
      </c>
    </row>
    <row r="12" spans="1:4">
      <c r="A12" s="47" t="s">
        <v>156</v>
      </c>
      <c r="B12" s="48" t="s">
        <v>29</v>
      </c>
      <c r="C12" s="49">
        <v>13779.755300000001</v>
      </c>
      <c r="D12" s="50" t="str">
        <f t="shared" si="0"/>
        <v>L43P1</v>
      </c>
    </row>
    <row r="13" spans="1:4">
      <c r="A13" s="47" t="s">
        <v>20</v>
      </c>
      <c r="B13" s="48" t="s">
        <v>29</v>
      </c>
      <c r="C13" s="49">
        <v>13729.4049</v>
      </c>
      <c r="D13" s="50" t="str">
        <f t="shared" si="0"/>
        <v>L42P1</v>
      </c>
    </row>
    <row r="14" spans="1:4">
      <c r="A14" s="47" t="s">
        <v>157</v>
      </c>
      <c r="B14" s="48" t="s">
        <v>29</v>
      </c>
      <c r="C14" s="49">
        <v>13624.1631</v>
      </c>
      <c r="D14" s="50" t="str">
        <f t="shared" si="0"/>
        <v>L41P1</v>
      </c>
    </row>
    <row r="15" spans="1:4">
      <c r="A15" s="47" t="s">
        <v>158</v>
      </c>
      <c r="B15" s="48" t="s">
        <v>29</v>
      </c>
      <c r="C15" s="49">
        <v>13471.7299</v>
      </c>
      <c r="D15" s="50" t="str">
        <f t="shared" si="0"/>
        <v>L40P1</v>
      </c>
    </row>
    <row r="16" spans="1:4">
      <c r="A16" s="47" t="s">
        <v>159</v>
      </c>
      <c r="B16" s="48" t="s">
        <v>29</v>
      </c>
      <c r="C16" s="49">
        <v>13281.6222</v>
      </c>
      <c r="D16" s="50" t="str">
        <f t="shared" si="0"/>
        <v>L39P1</v>
      </c>
    </row>
    <row r="17" spans="1:4">
      <c r="A17" s="47" t="s">
        <v>19</v>
      </c>
      <c r="B17" s="48" t="s">
        <v>29</v>
      </c>
      <c r="C17" s="49">
        <v>13066.5077</v>
      </c>
      <c r="D17" s="50" t="str">
        <f t="shared" si="0"/>
        <v>L38P1</v>
      </c>
    </row>
    <row r="18" spans="1:4">
      <c r="A18" s="47" t="s">
        <v>160</v>
      </c>
      <c r="B18" s="48" t="s">
        <v>29</v>
      </c>
      <c r="C18" s="49">
        <v>12841.691800000001</v>
      </c>
      <c r="D18" s="50" t="str">
        <f t="shared" si="0"/>
        <v>L37P1</v>
      </c>
    </row>
    <row r="19" spans="1:4">
      <c r="A19" s="47" t="s">
        <v>161</v>
      </c>
      <c r="B19" s="48" t="s">
        <v>29</v>
      </c>
      <c r="C19" s="49">
        <v>12625.873600000001</v>
      </c>
      <c r="D19" s="50" t="str">
        <f t="shared" si="0"/>
        <v>L36P1</v>
      </c>
    </row>
    <row r="20" spans="1:4">
      <c r="A20" s="47" t="s">
        <v>162</v>
      </c>
      <c r="B20" s="48" t="s">
        <v>29</v>
      </c>
      <c r="C20" s="49">
        <v>12438.9128</v>
      </c>
      <c r="D20" s="50" t="str">
        <f t="shared" si="0"/>
        <v>L35P1</v>
      </c>
    </row>
    <row r="21" spans="1:4">
      <c r="A21" s="47" t="s">
        <v>18</v>
      </c>
      <c r="B21" s="48" t="s">
        <v>29</v>
      </c>
      <c r="C21" s="49">
        <v>12307.172</v>
      </c>
      <c r="D21" s="50" t="str">
        <f t="shared" si="0"/>
        <v>L34P1</v>
      </c>
    </row>
    <row r="22" spans="1:4">
      <c r="A22" s="47" t="s">
        <v>163</v>
      </c>
      <c r="B22" s="48" t="s">
        <v>29</v>
      </c>
      <c r="C22" s="49">
        <v>12251.6945</v>
      </c>
      <c r="D22" s="50" t="str">
        <f t="shared" si="0"/>
        <v>L33P1</v>
      </c>
    </row>
    <row r="23" spans="1:4">
      <c r="A23" s="47" t="s">
        <v>164</v>
      </c>
      <c r="B23" s="48" t="s">
        <v>29</v>
      </c>
      <c r="C23" s="49">
        <v>12299.49</v>
      </c>
      <c r="D23" s="50" t="str">
        <f t="shared" si="0"/>
        <v>L32P1</v>
      </c>
    </row>
    <row r="24" spans="1:4">
      <c r="A24" s="47" t="s">
        <v>165</v>
      </c>
      <c r="B24" s="48" t="s">
        <v>29</v>
      </c>
      <c r="C24" s="49">
        <v>12388.607</v>
      </c>
      <c r="D24" s="50" t="str">
        <f t="shared" si="0"/>
        <v>L31P1</v>
      </c>
    </row>
    <row r="25" spans="1:4">
      <c r="A25" s="47" t="s">
        <v>17</v>
      </c>
      <c r="B25" s="48" t="s">
        <v>29</v>
      </c>
      <c r="C25" s="49">
        <v>12449.383099999999</v>
      </c>
      <c r="D25" s="50" t="str">
        <f t="shared" si="0"/>
        <v>L30P1</v>
      </c>
    </row>
    <row r="26" spans="1:4">
      <c r="A26" s="47" t="s">
        <v>166</v>
      </c>
      <c r="B26" s="48" t="s">
        <v>29</v>
      </c>
      <c r="C26" s="49">
        <v>12635.751700000001</v>
      </c>
      <c r="D26" s="50" t="str">
        <f t="shared" si="0"/>
        <v>L29P1</v>
      </c>
    </row>
    <row r="27" spans="1:4">
      <c r="A27" s="47" t="s">
        <v>167</v>
      </c>
      <c r="B27" s="48" t="s">
        <v>29</v>
      </c>
      <c r="C27" s="49">
        <v>12831.8017</v>
      </c>
      <c r="D27" s="50" t="str">
        <f t="shared" si="0"/>
        <v>L28P1</v>
      </c>
    </row>
    <row r="28" spans="1:4">
      <c r="A28" s="47" t="s">
        <v>168</v>
      </c>
      <c r="B28" s="48" t="s">
        <v>29</v>
      </c>
      <c r="C28" s="49">
        <v>13042.8912</v>
      </c>
      <c r="D28" s="50" t="str">
        <f t="shared" si="0"/>
        <v>L27P1</v>
      </c>
    </row>
    <row r="29" spans="1:4">
      <c r="A29" s="47" t="s">
        <v>169</v>
      </c>
      <c r="B29" s="48" t="s">
        <v>29</v>
      </c>
      <c r="C29" s="49">
        <v>13278.921</v>
      </c>
      <c r="D29" s="50" t="str">
        <f t="shared" si="0"/>
        <v>L26P1</v>
      </c>
    </row>
    <row r="30" spans="1:4">
      <c r="A30" s="47" t="s">
        <v>16</v>
      </c>
      <c r="B30" s="48" t="s">
        <v>29</v>
      </c>
      <c r="C30" s="49">
        <v>13556.364600000001</v>
      </c>
      <c r="D30" s="50" t="str">
        <f t="shared" si="0"/>
        <v>L25P1</v>
      </c>
    </row>
    <row r="31" spans="1:4">
      <c r="A31" s="47" t="s">
        <v>170</v>
      </c>
      <c r="B31" s="48" t="s">
        <v>29</v>
      </c>
      <c r="C31" s="49">
        <v>13883.9035</v>
      </c>
      <c r="D31" s="50" t="str">
        <f t="shared" si="0"/>
        <v>L24P1</v>
      </c>
    </row>
    <row r="32" spans="1:4">
      <c r="A32" s="47" t="s">
        <v>171</v>
      </c>
      <c r="B32" s="48" t="s">
        <v>29</v>
      </c>
      <c r="C32" s="49">
        <v>14262.545899999999</v>
      </c>
      <c r="D32" s="50" t="str">
        <f t="shared" si="0"/>
        <v>L23P1</v>
      </c>
    </row>
    <row r="33" spans="1:4">
      <c r="A33" s="47" t="s">
        <v>172</v>
      </c>
      <c r="B33" s="48" t="s">
        <v>29</v>
      </c>
      <c r="C33" s="49">
        <v>14686.224899999999</v>
      </c>
      <c r="D33" s="50" t="str">
        <f t="shared" si="0"/>
        <v>L22P1</v>
      </c>
    </row>
    <row r="34" spans="1:4">
      <c r="A34" s="47" t="s">
        <v>15</v>
      </c>
      <c r="B34" s="48" t="s">
        <v>29</v>
      </c>
      <c r="C34" s="49">
        <v>15145.2901</v>
      </c>
      <c r="D34" s="50" t="str">
        <f t="shared" si="0"/>
        <v>L21P1</v>
      </c>
    </row>
    <row r="35" spans="1:4">
      <c r="A35" s="47" t="s">
        <v>173</v>
      </c>
      <c r="B35" s="48" t="s">
        <v>29</v>
      </c>
      <c r="C35" s="49">
        <v>15631.0486</v>
      </c>
      <c r="D35" s="50" t="str">
        <f t="shared" si="0"/>
        <v>L20P1</v>
      </c>
    </row>
    <row r="36" spans="1:4">
      <c r="A36" s="47" t="s">
        <v>174</v>
      </c>
      <c r="B36" s="48" t="s">
        <v>29</v>
      </c>
      <c r="C36" s="49">
        <v>16139.6368</v>
      </c>
      <c r="D36" s="50" t="str">
        <f t="shared" si="0"/>
        <v>L19P1</v>
      </c>
    </row>
    <row r="37" spans="1:4">
      <c r="A37" s="47" t="s">
        <v>175</v>
      </c>
      <c r="B37" s="48" t="s">
        <v>29</v>
      </c>
      <c r="C37" s="49">
        <v>16673.814999999999</v>
      </c>
      <c r="D37" s="50" t="str">
        <f t="shared" si="0"/>
        <v>L18P1</v>
      </c>
    </row>
    <row r="38" spans="1:4">
      <c r="A38" s="47" t="s">
        <v>14</v>
      </c>
      <c r="B38" s="48" t="s">
        <v>29</v>
      </c>
      <c r="C38" s="49">
        <v>17241.906800000001</v>
      </c>
      <c r="D38" s="50" t="str">
        <f t="shared" si="0"/>
        <v>L17P1</v>
      </c>
    </row>
    <row r="39" spans="1:4">
      <c r="A39" s="47" t="s">
        <v>176</v>
      </c>
      <c r="B39" s="48" t="s">
        <v>29</v>
      </c>
      <c r="C39" s="49">
        <v>17854.968499999999</v>
      </c>
      <c r="D39" s="50" t="str">
        <f t="shared" si="0"/>
        <v>L16P1</v>
      </c>
    </row>
    <row r="40" spans="1:4">
      <c r="A40" s="47" t="s">
        <v>177</v>
      </c>
      <c r="B40" s="48" t="s">
        <v>29</v>
      </c>
      <c r="C40" s="49">
        <v>18523.471099999999</v>
      </c>
      <c r="D40" s="50" t="str">
        <f t="shared" si="0"/>
        <v>L15P1</v>
      </c>
    </row>
    <row r="41" spans="1:4">
      <c r="A41" s="47" t="s">
        <v>178</v>
      </c>
      <c r="B41" s="48" t="s">
        <v>29</v>
      </c>
      <c r="C41" s="49">
        <v>19255.6145</v>
      </c>
      <c r="D41" s="50" t="str">
        <f t="shared" si="0"/>
        <v>L14P1</v>
      </c>
    </row>
    <row r="42" spans="1:4">
      <c r="A42" s="47" t="s">
        <v>13</v>
      </c>
      <c r="B42" s="48" t="s">
        <v>29</v>
      </c>
      <c r="C42" s="49">
        <v>20055.856599999999</v>
      </c>
      <c r="D42" s="50" t="str">
        <f t="shared" si="0"/>
        <v>L13P1</v>
      </c>
    </row>
    <row r="43" spans="1:4">
      <c r="A43" s="47" t="s">
        <v>179</v>
      </c>
      <c r="B43" s="48" t="s">
        <v>29</v>
      </c>
      <c r="C43" s="49">
        <v>20926.7683</v>
      </c>
      <c r="D43" s="50" t="str">
        <f t="shared" si="0"/>
        <v>L12P1</v>
      </c>
    </row>
    <row r="44" spans="1:4">
      <c r="A44" s="47" t="s">
        <v>180</v>
      </c>
      <c r="B44" s="48" t="s">
        <v>29</v>
      </c>
      <c r="C44" s="49">
        <v>21864.160599999999</v>
      </c>
      <c r="D44" s="50" t="str">
        <f t="shared" si="0"/>
        <v>L11P1</v>
      </c>
    </row>
    <row r="45" spans="1:4">
      <c r="A45" s="47" t="s">
        <v>181</v>
      </c>
      <c r="B45" s="48" t="s">
        <v>29</v>
      </c>
      <c r="C45" s="49">
        <v>22865.460200000001</v>
      </c>
      <c r="D45" s="50" t="str">
        <f t="shared" si="0"/>
        <v>L10P1</v>
      </c>
    </row>
    <row r="46" spans="1:4">
      <c r="A46" s="47" t="s">
        <v>12</v>
      </c>
      <c r="B46" s="48" t="s">
        <v>29</v>
      </c>
      <c r="C46" s="49">
        <v>23897.445500000002</v>
      </c>
      <c r="D46" s="50" t="str">
        <f t="shared" si="0"/>
        <v>L9P1</v>
      </c>
    </row>
    <row r="47" spans="1:4">
      <c r="A47" s="47" t="s">
        <v>182</v>
      </c>
      <c r="B47" s="48" t="s">
        <v>29</v>
      </c>
      <c r="C47" s="49">
        <v>24938.917300000001</v>
      </c>
      <c r="D47" s="50" t="str">
        <f t="shared" si="0"/>
        <v>L8P1</v>
      </c>
    </row>
    <row r="48" spans="1:4">
      <c r="A48" s="47" t="s">
        <v>183</v>
      </c>
      <c r="B48" s="48" t="s">
        <v>29</v>
      </c>
      <c r="C48" s="49">
        <v>25788.4136</v>
      </c>
      <c r="D48" s="50" t="str">
        <f t="shared" si="0"/>
        <v>L7P1</v>
      </c>
    </row>
    <row r="49" spans="1:4">
      <c r="A49" s="47" t="s">
        <v>184</v>
      </c>
      <c r="B49" s="48" t="s">
        <v>29</v>
      </c>
      <c r="C49" s="49">
        <v>26355.464499999998</v>
      </c>
      <c r="D49" s="50" t="str">
        <f t="shared" si="0"/>
        <v>L6P1</v>
      </c>
    </row>
    <row r="50" spans="1:4">
      <c r="A50" s="47" t="s">
        <v>11</v>
      </c>
      <c r="B50" s="48" t="s">
        <v>29</v>
      </c>
      <c r="C50" s="49">
        <v>25775.263500000001</v>
      </c>
      <c r="D50" s="50" t="str">
        <f t="shared" si="0"/>
        <v>L5P1</v>
      </c>
    </row>
    <row r="51" spans="1:4">
      <c r="A51" s="47" t="s">
        <v>185</v>
      </c>
      <c r="B51" s="48" t="s">
        <v>29</v>
      </c>
      <c r="C51" s="49">
        <v>24088.7657</v>
      </c>
      <c r="D51" s="50" t="str">
        <f t="shared" si="0"/>
        <v>L4P1</v>
      </c>
    </row>
    <row r="52" spans="1:4">
      <c r="A52" s="47" t="s">
        <v>186</v>
      </c>
      <c r="B52" s="48" t="s">
        <v>29</v>
      </c>
      <c r="C52" s="49">
        <v>21082.374199999998</v>
      </c>
      <c r="D52" s="50" t="str">
        <f t="shared" si="0"/>
        <v>L3P1</v>
      </c>
    </row>
    <row r="53" spans="1:4">
      <c r="A53" s="47" t="s">
        <v>187</v>
      </c>
      <c r="B53" s="48" t="s">
        <v>29</v>
      </c>
      <c r="C53" s="49">
        <v>21142.726999999999</v>
      </c>
      <c r="D53" s="50" t="str">
        <f t="shared" si="0"/>
        <v>ROOF (GARDEN VILLA)P1</v>
      </c>
    </row>
    <row r="54" spans="1:4">
      <c r="A54" s="47" t="s">
        <v>188</v>
      </c>
      <c r="B54" s="48" t="s">
        <v>29</v>
      </c>
      <c r="C54" s="49">
        <v>18703.112000000001</v>
      </c>
      <c r="D54" s="50" t="str">
        <f t="shared" si="0"/>
        <v>L2 (TOWER)P1</v>
      </c>
    </row>
    <row r="55" spans="1:4">
      <c r="A55" s="47" t="s">
        <v>189</v>
      </c>
      <c r="B55" s="48" t="s">
        <v>29</v>
      </c>
      <c r="C55" s="49">
        <v>18800.200700000001</v>
      </c>
      <c r="D55" s="50" t="str">
        <f t="shared" si="0"/>
        <v>L2 (GARDEN VILLA)P1</v>
      </c>
    </row>
    <row r="56" spans="1:4">
      <c r="A56" s="47" t="s">
        <v>10</v>
      </c>
      <c r="B56" s="48" t="s">
        <v>29</v>
      </c>
      <c r="C56" s="49">
        <v>22148.289000000001</v>
      </c>
      <c r="D56" s="50" t="str">
        <f t="shared" si="0"/>
        <v>L1P1</v>
      </c>
    </row>
    <row r="57" spans="1:4">
      <c r="A57" s="47" t="s">
        <v>9</v>
      </c>
      <c r="B57" s="48" t="s">
        <v>29</v>
      </c>
      <c r="C57" s="49">
        <v>27421.441500000001</v>
      </c>
      <c r="D57" s="50" t="str">
        <f t="shared" si="0"/>
        <v>LGP1</v>
      </c>
    </row>
    <row r="58" spans="1:4">
      <c r="A58" s="47" t="s">
        <v>8</v>
      </c>
      <c r="B58" s="48" t="s">
        <v>29</v>
      </c>
      <c r="C58" s="49">
        <v>29643.011200000001</v>
      </c>
      <c r="D58" s="50" t="str">
        <f t="shared" si="0"/>
        <v>B1P1</v>
      </c>
    </row>
    <row r="59" spans="1:4">
      <c r="A59" s="47" t="s">
        <v>23</v>
      </c>
      <c r="B59" s="48" t="s">
        <v>190</v>
      </c>
      <c r="C59" s="49">
        <v>1116.1661999999999</v>
      </c>
      <c r="D59" s="50" t="str">
        <f t="shared" si="0"/>
        <v>ROOF OVER MCRMP10</v>
      </c>
    </row>
    <row r="60" spans="1:4">
      <c r="A60" s="47" t="s">
        <v>149</v>
      </c>
      <c r="B60" s="48" t="s">
        <v>190</v>
      </c>
      <c r="C60" s="49">
        <v>6624.3359</v>
      </c>
      <c r="D60" s="50" t="str">
        <f t="shared" si="0"/>
        <v>MCRMP10</v>
      </c>
    </row>
    <row r="61" spans="1:4">
      <c r="A61" s="47" t="s">
        <v>150</v>
      </c>
      <c r="B61" s="48" t="s">
        <v>190</v>
      </c>
      <c r="C61" s="49">
        <v>7476.9641000000001</v>
      </c>
      <c r="D61" s="50" t="str">
        <f t="shared" si="0"/>
        <v>RDP10</v>
      </c>
    </row>
    <row r="62" spans="1:4">
      <c r="A62" s="47" t="s">
        <v>22</v>
      </c>
      <c r="B62" s="48" t="s">
        <v>190</v>
      </c>
      <c r="C62" s="49">
        <v>8454.2070000000003</v>
      </c>
      <c r="D62" s="50" t="str">
        <f t="shared" si="0"/>
        <v>L50P10</v>
      </c>
    </row>
    <row r="63" spans="1:4">
      <c r="A63" s="47" t="s">
        <v>151</v>
      </c>
      <c r="B63" s="48" t="s">
        <v>190</v>
      </c>
      <c r="C63" s="49">
        <v>9097.2263000000003</v>
      </c>
      <c r="D63" s="50" t="str">
        <f t="shared" si="0"/>
        <v>L49P10</v>
      </c>
    </row>
    <row r="64" spans="1:4">
      <c r="A64" s="47" t="s">
        <v>152</v>
      </c>
      <c r="B64" s="48" t="s">
        <v>190</v>
      </c>
      <c r="C64" s="49">
        <v>9376.1676000000007</v>
      </c>
      <c r="D64" s="50" t="str">
        <f t="shared" si="0"/>
        <v>L48P10</v>
      </c>
    </row>
    <row r="65" spans="1:4">
      <c r="A65" s="47" t="s">
        <v>153</v>
      </c>
      <c r="B65" s="48" t="s">
        <v>190</v>
      </c>
      <c r="C65" s="49">
        <v>9449.9809999999998</v>
      </c>
      <c r="D65" s="50" t="str">
        <f t="shared" si="0"/>
        <v>L47P10</v>
      </c>
    </row>
    <row r="66" spans="1:4">
      <c r="A66" s="47" t="s">
        <v>21</v>
      </c>
      <c r="B66" s="48" t="s">
        <v>190</v>
      </c>
      <c r="C66" s="49">
        <v>9413.5748000000003</v>
      </c>
      <c r="D66" s="50" t="str">
        <f t="shared" si="0"/>
        <v>L46P10</v>
      </c>
    </row>
    <row r="67" spans="1:4">
      <c r="A67" s="47" t="s">
        <v>154</v>
      </c>
      <c r="B67" s="48" t="s">
        <v>190</v>
      </c>
      <c r="C67" s="49">
        <v>9287.9779999999992</v>
      </c>
      <c r="D67" s="50" t="str">
        <f t="shared" si="0"/>
        <v>L45P10</v>
      </c>
    </row>
    <row r="68" spans="1:4">
      <c r="A68" s="47" t="s">
        <v>155</v>
      </c>
      <c r="B68" s="48" t="s">
        <v>190</v>
      </c>
      <c r="C68" s="49">
        <v>9115.9879999999994</v>
      </c>
      <c r="D68" s="50" t="str">
        <f t="shared" ref="D68:D131" si="1">CONCATENATE(A68,B68)</f>
        <v>L44P10</v>
      </c>
    </row>
    <row r="69" spans="1:4">
      <c r="A69" s="47" t="s">
        <v>156</v>
      </c>
      <c r="B69" s="48" t="s">
        <v>190</v>
      </c>
      <c r="C69" s="49">
        <v>8939.6241000000009</v>
      </c>
      <c r="D69" s="50" t="str">
        <f t="shared" si="1"/>
        <v>L43P10</v>
      </c>
    </row>
    <row r="70" spans="1:4">
      <c r="A70" s="47" t="s">
        <v>20</v>
      </c>
      <c r="B70" s="48" t="s">
        <v>190</v>
      </c>
      <c r="C70" s="49">
        <v>8803.9776999999995</v>
      </c>
      <c r="D70" s="50" t="str">
        <f t="shared" si="1"/>
        <v>L42P10</v>
      </c>
    </row>
    <row r="71" spans="1:4">
      <c r="A71" s="47" t="s">
        <v>157</v>
      </c>
      <c r="B71" s="48" t="s">
        <v>190</v>
      </c>
      <c r="C71" s="49">
        <v>8745.8682000000008</v>
      </c>
      <c r="D71" s="50" t="str">
        <f t="shared" si="1"/>
        <v>L41P10</v>
      </c>
    </row>
    <row r="72" spans="1:4">
      <c r="A72" s="47" t="s">
        <v>158</v>
      </c>
      <c r="B72" s="48" t="s">
        <v>190</v>
      </c>
      <c r="C72" s="49">
        <v>8787.1067999999996</v>
      </c>
      <c r="D72" s="50" t="str">
        <f t="shared" si="1"/>
        <v>L40P10</v>
      </c>
    </row>
    <row r="73" spans="1:4">
      <c r="A73" s="47" t="s">
        <v>159</v>
      </c>
      <c r="B73" s="48" t="s">
        <v>190</v>
      </c>
      <c r="C73" s="49">
        <v>8930.7626</v>
      </c>
      <c r="D73" s="50" t="str">
        <f t="shared" si="1"/>
        <v>L39P10</v>
      </c>
    </row>
    <row r="74" spans="1:4">
      <c r="A74" s="47" t="s">
        <v>19</v>
      </c>
      <c r="B74" s="48" t="s">
        <v>190</v>
      </c>
      <c r="C74" s="49">
        <v>9163.6702999999998</v>
      </c>
      <c r="D74" s="50" t="str">
        <f t="shared" si="1"/>
        <v>L38P10</v>
      </c>
    </row>
    <row r="75" spans="1:4">
      <c r="A75" s="47" t="s">
        <v>160</v>
      </c>
      <c r="B75" s="48" t="s">
        <v>190</v>
      </c>
      <c r="C75" s="49">
        <v>9462.7929999999997</v>
      </c>
      <c r="D75" s="50" t="str">
        <f t="shared" si="1"/>
        <v>L37P10</v>
      </c>
    </row>
    <row r="76" spans="1:4">
      <c r="A76" s="47" t="s">
        <v>161</v>
      </c>
      <c r="B76" s="48" t="s">
        <v>190</v>
      </c>
      <c r="C76" s="49">
        <v>9802.5848000000005</v>
      </c>
      <c r="D76" s="50" t="str">
        <f t="shared" si="1"/>
        <v>L36P10</v>
      </c>
    </row>
    <row r="77" spans="1:4">
      <c r="A77" s="47" t="s">
        <v>162</v>
      </c>
      <c r="B77" s="48" t="s">
        <v>190</v>
      </c>
      <c r="C77" s="49">
        <v>10158.041999999999</v>
      </c>
      <c r="D77" s="50" t="str">
        <f t="shared" si="1"/>
        <v>L35P10</v>
      </c>
    </row>
    <row r="78" spans="1:4">
      <c r="A78" s="47" t="s">
        <v>18</v>
      </c>
      <c r="B78" s="48" t="s">
        <v>190</v>
      </c>
      <c r="C78" s="49">
        <v>10500.7225</v>
      </c>
      <c r="D78" s="50" t="str">
        <f t="shared" si="1"/>
        <v>L34P10</v>
      </c>
    </row>
    <row r="79" spans="1:4">
      <c r="A79" s="47" t="s">
        <v>163</v>
      </c>
      <c r="B79" s="48" t="s">
        <v>190</v>
      </c>
      <c r="C79" s="49">
        <v>10760.384400000001</v>
      </c>
      <c r="D79" s="50" t="str">
        <f t="shared" si="1"/>
        <v>L33P10</v>
      </c>
    </row>
    <row r="80" spans="1:4">
      <c r="A80" s="47" t="s">
        <v>164</v>
      </c>
      <c r="B80" s="48" t="s">
        <v>190</v>
      </c>
      <c r="C80" s="49">
        <v>10808.0291</v>
      </c>
      <c r="D80" s="50" t="str">
        <f t="shared" si="1"/>
        <v>L32P10</v>
      </c>
    </row>
    <row r="81" spans="1:4">
      <c r="A81" s="47" t="s">
        <v>165</v>
      </c>
      <c r="B81" s="48" t="s">
        <v>190</v>
      </c>
      <c r="C81" s="49">
        <v>10138.5905</v>
      </c>
      <c r="D81" s="50" t="str">
        <f t="shared" si="1"/>
        <v>L31P10</v>
      </c>
    </row>
    <row r="82" spans="1:4">
      <c r="A82" s="47" t="s">
        <v>17</v>
      </c>
      <c r="B82" s="48" t="s">
        <v>190</v>
      </c>
      <c r="C82" s="49">
        <v>9445.3323</v>
      </c>
      <c r="D82" s="50" t="str">
        <f t="shared" si="1"/>
        <v>L30P10</v>
      </c>
    </row>
    <row r="83" spans="1:4">
      <c r="A83" s="47" t="s">
        <v>166</v>
      </c>
      <c r="B83" s="48" t="s">
        <v>190</v>
      </c>
      <c r="C83" s="49">
        <v>9301.5938999999998</v>
      </c>
      <c r="D83" s="50" t="str">
        <f t="shared" si="1"/>
        <v>L29P10</v>
      </c>
    </row>
    <row r="84" spans="1:4">
      <c r="A84" s="47" t="s">
        <v>167</v>
      </c>
      <c r="B84" s="48" t="s">
        <v>190</v>
      </c>
      <c r="C84" s="49">
        <v>9274.9509999999991</v>
      </c>
      <c r="D84" s="50" t="str">
        <f t="shared" si="1"/>
        <v>L28P10</v>
      </c>
    </row>
    <row r="85" spans="1:4">
      <c r="A85" s="47" t="s">
        <v>168</v>
      </c>
      <c r="B85" s="48" t="s">
        <v>190</v>
      </c>
      <c r="C85" s="49">
        <v>9291.6988000000001</v>
      </c>
      <c r="D85" s="50" t="str">
        <f t="shared" si="1"/>
        <v>L27P10</v>
      </c>
    </row>
    <row r="86" spans="1:4">
      <c r="A86" s="47" t="s">
        <v>169</v>
      </c>
      <c r="B86" s="48" t="s">
        <v>190</v>
      </c>
      <c r="C86" s="49">
        <v>9300.5298999999995</v>
      </c>
      <c r="D86" s="50" t="str">
        <f t="shared" si="1"/>
        <v>L26P10</v>
      </c>
    </row>
    <row r="87" spans="1:4">
      <c r="A87" s="47" t="s">
        <v>16</v>
      </c>
      <c r="B87" s="48" t="s">
        <v>190</v>
      </c>
      <c r="C87" s="49">
        <v>9310.8153000000002</v>
      </c>
      <c r="D87" s="50" t="str">
        <f t="shared" si="1"/>
        <v>L25P10</v>
      </c>
    </row>
    <row r="88" spans="1:4">
      <c r="A88" s="47" t="s">
        <v>170</v>
      </c>
      <c r="B88" s="48" t="s">
        <v>190</v>
      </c>
      <c r="C88" s="49">
        <v>9340.1569999999992</v>
      </c>
      <c r="D88" s="50" t="str">
        <f t="shared" si="1"/>
        <v>L24P10</v>
      </c>
    </row>
    <row r="89" spans="1:4">
      <c r="A89" s="47" t="s">
        <v>171</v>
      </c>
      <c r="B89" s="48" t="s">
        <v>190</v>
      </c>
      <c r="C89" s="49">
        <v>9406.1188000000002</v>
      </c>
      <c r="D89" s="50" t="str">
        <f t="shared" si="1"/>
        <v>L23P10</v>
      </c>
    </row>
    <row r="90" spans="1:4">
      <c r="A90" s="47" t="s">
        <v>172</v>
      </c>
      <c r="B90" s="48" t="s">
        <v>190</v>
      </c>
      <c r="C90" s="49">
        <v>9519.7960000000003</v>
      </c>
      <c r="D90" s="50" t="str">
        <f t="shared" si="1"/>
        <v>L22P10</v>
      </c>
    </row>
    <row r="91" spans="1:4">
      <c r="A91" s="47" t="s">
        <v>15</v>
      </c>
      <c r="B91" s="48" t="s">
        <v>190</v>
      </c>
      <c r="C91" s="49">
        <v>9684.7970000000005</v>
      </c>
      <c r="D91" s="50" t="str">
        <f t="shared" si="1"/>
        <v>L21P10</v>
      </c>
    </row>
    <row r="92" spans="1:4">
      <c r="A92" s="47" t="s">
        <v>173</v>
      </c>
      <c r="B92" s="48" t="s">
        <v>190</v>
      </c>
      <c r="C92" s="49">
        <v>9897.2451999999994</v>
      </c>
      <c r="D92" s="50" t="str">
        <f t="shared" si="1"/>
        <v>L20P10</v>
      </c>
    </row>
    <row r="93" spans="1:4">
      <c r="A93" s="47" t="s">
        <v>174</v>
      </c>
      <c r="B93" s="48" t="s">
        <v>190</v>
      </c>
      <c r="C93" s="49">
        <v>10147.045700000001</v>
      </c>
      <c r="D93" s="50" t="str">
        <f t="shared" si="1"/>
        <v>L19P10</v>
      </c>
    </row>
    <row r="94" spans="1:4">
      <c r="A94" s="47" t="s">
        <v>175</v>
      </c>
      <c r="B94" s="48" t="s">
        <v>190</v>
      </c>
      <c r="C94" s="49">
        <v>10419.826999999999</v>
      </c>
      <c r="D94" s="50" t="str">
        <f t="shared" si="1"/>
        <v>L18P10</v>
      </c>
    </row>
    <row r="95" spans="1:4">
      <c r="A95" s="47" t="s">
        <v>14</v>
      </c>
      <c r="B95" s="48" t="s">
        <v>190</v>
      </c>
      <c r="C95" s="49">
        <v>10699.4337</v>
      </c>
      <c r="D95" s="50" t="str">
        <f t="shared" si="1"/>
        <v>L17P10</v>
      </c>
    </row>
    <row r="96" spans="1:4">
      <c r="A96" s="47" t="s">
        <v>176</v>
      </c>
      <c r="B96" s="48" t="s">
        <v>190</v>
      </c>
      <c r="C96" s="49">
        <v>10970.6698</v>
      </c>
      <c r="D96" s="50" t="str">
        <f t="shared" si="1"/>
        <v>L16P10</v>
      </c>
    </row>
    <row r="97" spans="1:4">
      <c r="A97" s="47" t="s">
        <v>177</v>
      </c>
      <c r="B97" s="48" t="s">
        <v>190</v>
      </c>
      <c r="C97" s="49">
        <v>11221.8608</v>
      </c>
      <c r="D97" s="50" t="str">
        <f t="shared" si="1"/>
        <v>L15P10</v>
      </c>
    </row>
    <row r="98" spans="1:4">
      <c r="A98" s="47" t="s">
        <v>178</v>
      </c>
      <c r="B98" s="48" t="s">
        <v>190</v>
      </c>
      <c r="C98" s="49">
        <v>11446.7623</v>
      </c>
      <c r="D98" s="50" t="str">
        <f t="shared" si="1"/>
        <v>L14P10</v>
      </c>
    </row>
    <row r="99" spans="1:4">
      <c r="A99" s="47" t="s">
        <v>13</v>
      </c>
      <c r="B99" s="48" t="s">
        <v>190</v>
      </c>
      <c r="C99" s="49">
        <v>11645.542799999999</v>
      </c>
      <c r="D99" s="50" t="str">
        <f t="shared" si="1"/>
        <v>L13P10</v>
      </c>
    </row>
    <row r="100" spans="1:4">
      <c r="A100" s="47" t="s">
        <v>179</v>
      </c>
      <c r="B100" s="48" t="s">
        <v>190</v>
      </c>
      <c r="C100" s="49">
        <v>11824.4354</v>
      </c>
      <c r="D100" s="50" t="str">
        <f t="shared" si="1"/>
        <v>L12P10</v>
      </c>
    </row>
    <row r="101" spans="1:4">
      <c r="A101" s="47" t="s">
        <v>180</v>
      </c>
      <c r="B101" s="48" t="s">
        <v>190</v>
      </c>
      <c r="C101" s="49">
        <v>11994.4038</v>
      </c>
      <c r="D101" s="50" t="str">
        <f t="shared" si="1"/>
        <v>L11P10</v>
      </c>
    </row>
    <row r="102" spans="1:4">
      <c r="A102" s="47" t="s">
        <v>181</v>
      </c>
      <c r="B102" s="48" t="s">
        <v>190</v>
      </c>
      <c r="C102" s="49">
        <v>12166.6931</v>
      </c>
      <c r="D102" s="50" t="str">
        <f t="shared" si="1"/>
        <v>L10P10</v>
      </c>
    </row>
    <row r="103" spans="1:4">
      <c r="A103" s="47" t="s">
        <v>12</v>
      </c>
      <c r="B103" s="48" t="s">
        <v>190</v>
      </c>
      <c r="C103" s="49">
        <v>12354.4887</v>
      </c>
      <c r="D103" s="50" t="str">
        <f t="shared" si="1"/>
        <v>L9P10</v>
      </c>
    </row>
    <row r="104" spans="1:4">
      <c r="A104" s="47" t="s">
        <v>182</v>
      </c>
      <c r="B104" s="48" t="s">
        <v>190</v>
      </c>
      <c r="C104" s="49">
        <v>12558.224399999999</v>
      </c>
      <c r="D104" s="50" t="str">
        <f t="shared" si="1"/>
        <v>L8P10</v>
      </c>
    </row>
    <row r="105" spans="1:4">
      <c r="A105" s="47" t="s">
        <v>183</v>
      </c>
      <c r="B105" s="48" t="s">
        <v>190</v>
      </c>
      <c r="C105" s="49">
        <v>12828.3819</v>
      </c>
      <c r="D105" s="50" t="str">
        <f t="shared" si="1"/>
        <v>L7P10</v>
      </c>
    </row>
    <row r="106" spans="1:4">
      <c r="A106" s="47" t="s">
        <v>184</v>
      </c>
      <c r="B106" s="48" t="s">
        <v>190</v>
      </c>
      <c r="C106" s="49">
        <v>13114.5065</v>
      </c>
      <c r="D106" s="50" t="str">
        <f t="shared" si="1"/>
        <v>L6P10</v>
      </c>
    </row>
    <row r="107" spans="1:4">
      <c r="A107" s="47" t="s">
        <v>11</v>
      </c>
      <c r="B107" s="48" t="s">
        <v>190</v>
      </c>
      <c r="C107" s="49">
        <v>13829.955099999999</v>
      </c>
      <c r="D107" s="50" t="str">
        <f t="shared" si="1"/>
        <v>L5P10</v>
      </c>
    </row>
    <row r="108" spans="1:4">
      <c r="A108" s="47" t="s">
        <v>185</v>
      </c>
      <c r="B108" s="48" t="s">
        <v>190</v>
      </c>
      <c r="C108" s="49">
        <v>13337.175300000001</v>
      </c>
      <c r="D108" s="50" t="str">
        <f t="shared" si="1"/>
        <v>L4P10</v>
      </c>
    </row>
    <row r="109" spans="1:4">
      <c r="A109" s="47" t="s">
        <v>186</v>
      </c>
      <c r="B109" s="48" t="s">
        <v>190</v>
      </c>
      <c r="C109" s="49">
        <v>10499.377200000001</v>
      </c>
      <c r="D109" s="50" t="str">
        <f t="shared" si="1"/>
        <v>L3P10</v>
      </c>
    </row>
    <row r="110" spans="1:4">
      <c r="A110" s="47" t="s">
        <v>187</v>
      </c>
      <c r="B110" s="48" t="s">
        <v>190</v>
      </c>
      <c r="C110" s="49">
        <v>12455.416999999999</v>
      </c>
      <c r="D110" s="50" t="str">
        <f t="shared" si="1"/>
        <v>ROOF (GARDEN VILLA)P10</v>
      </c>
    </row>
    <row r="111" spans="1:4">
      <c r="A111" s="47" t="s">
        <v>188</v>
      </c>
      <c r="B111" s="48" t="s">
        <v>190</v>
      </c>
      <c r="C111" s="49">
        <v>9397.6522000000004</v>
      </c>
      <c r="D111" s="50" t="str">
        <f t="shared" si="1"/>
        <v>L2 (TOWER)P10</v>
      </c>
    </row>
    <row r="112" spans="1:4">
      <c r="A112" s="47" t="s">
        <v>189</v>
      </c>
      <c r="B112" s="48" t="s">
        <v>190</v>
      </c>
      <c r="C112" s="49">
        <v>8785.3610000000008</v>
      </c>
      <c r="D112" s="50" t="str">
        <f t="shared" si="1"/>
        <v>L2 (GARDEN VILLA)P10</v>
      </c>
    </row>
    <row r="113" spans="1:4">
      <c r="A113" s="47" t="s">
        <v>10</v>
      </c>
      <c r="B113" s="48" t="s">
        <v>190</v>
      </c>
      <c r="C113" s="49">
        <v>9654.0347000000002</v>
      </c>
      <c r="D113" s="50" t="str">
        <f t="shared" si="1"/>
        <v>L1P10</v>
      </c>
    </row>
    <row r="114" spans="1:4">
      <c r="A114" s="47" t="s">
        <v>9</v>
      </c>
      <c r="B114" s="48" t="s">
        <v>190</v>
      </c>
      <c r="C114" s="49">
        <v>10874.219499999999</v>
      </c>
      <c r="D114" s="50" t="str">
        <f t="shared" si="1"/>
        <v>LGP10</v>
      </c>
    </row>
    <row r="115" spans="1:4">
      <c r="A115" s="47" t="s">
        <v>8</v>
      </c>
      <c r="B115" s="48" t="s">
        <v>190</v>
      </c>
      <c r="C115" s="49">
        <v>12959.918600000001</v>
      </c>
      <c r="D115" s="50" t="str">
        <f t="shared" si="1"/>
        <v>B1P10</v>
      </c>
    </row>
    <row r="116" spans="1:4">
      <c r="A116" s="47" t="s">
        <v>149</v>
      </c>
      <c r="B116" s="48" t="s">
        <v>191</v>
      </c>
      <c r="C116" s="49">
        <v>4639.3639999999996</v>
      </c>
      <c r="D116" s="50" t="str">
        <f t="shared" si="1"/>
        <v>MCRMP2</v>
      </c>
    </row>
    <row r="117" spans="1:4">
      <c r="A117" s="47" t="s">
        <v>150</v>
      </c>
      <c r="B117" s="48" t="s">
        <v>191</v>
      </c>
      <c r="C117" s="49">
        <v>9675.3351000000002</v>
      </c>
      <c r="D117" s="50" t="str">
        <f t="shared" si="1"/>
        <v>RDP2</v>
      </c>
    </row>
    <row r="118" spans="1:4">
      <c r="A118" s="47" t="s">
        <v>22</v>
      </c>
      <c r="B118" s="48" t="s">
        <v>191</v>
      </c>
      <c r="C118" s="49">
        <v>11765.854799999999</v>
      </c>
      <c r="D118" s="50" t="str">
        <f t="shared" si="1"/>
        <v>L50P2</v>
      </c>
    </row>
    <row r="119" spans="1:4">
      <c r="A119" s="47" t="s">
        <v>151</v>
      </c>
      <c r="B119" s="48" t="s">
        <v>191</v>
      </c>
      <c r="C119" s="49">
        <v>13097.6973</v>
      </c>
      <c r="D119" s="50" t="str">
        <f t="shared" si="1"/>
        <v>L49P2</v>
      </c>
    </row>
    <row r="120" spans="1:4">
      <c r="A120" s="47" t="s">
        <v>152</v>
      </c>
      <c r="B120" s="48" t="s">
        <v>191</v>
      </c>
      <c r="C120" s="49">
        <v>13956.8588</v>
      </c>
      <c r="D120" s="50" t="str">
        <f t="shared" si="1"/>
        <v>L48P2</v>
      </c>
    </row>
    <row r="121" spans="1:4">
      <c r="A121" s="47" t="s">
        <v>153</v>
      </c>
      <c r="B121" s="48" t="s">
        <v>191</v>
      </c>
      <c r="C121" s="49">
        <v>14484.513000000001</v>
      </c>
      <c r="D121" s="50" t="str">
        <f t="shared" si="1"/>
        <v>L47P2</v>
      </c>
    </row>
    <row r="122" spans="1:4">
      <c r="A122" s="47" t="s">
        <v>21</v>
      </c>
      <c r="B122" s="48" t="s">
        <v>191</v>
      </c>
      <c r="C122" s="49">
        <v>14695.641799999999</v>
      </c>
      <c r="D122" s="50" t="str">
        <f t="shared" si="1"/>
        <v>L46P2</v>
      </c>
    </row>
    <row r="123" spans="1:4">
      <c r="A123" s="47" t="s">
        <v>154</v>
      </c>
      <c r="B123" s="48" t="s">
        <v>191</v>
      </c>
      <c r="C123" s="49">
        <v>14711.933300000001</v>
      </c>
      <c r="D123" s="50" t="str">
        <f t="shared" si="1"/>
        <v>L45P2</v>
      </c>
    </row>
    <row r="124" spans="1:4">
      <c r="A124" s="47" t="s">
        <v>155</v>
      </c>
      <c r="B124" s="48" t="s">
        <v>191</v>
      </c>
      <c r="C124" s="49">
        <v>14641.2655</v>
      </c>
      <c r="D124" s="50" t="str">
        <f t="shared" si="1"/>
        <v>L44P2</v>
      </c>
    </row>
    <row r="125" spans="1:4">
      <c r="A125" s="47" t="s">
        <v>156</v>
      </c>
      <c r="B125" s="48" t="s">
        <v>191</v>
      </c>
      <c r="C125" s="49">
        <v>14569.4439</v>
      </c>
      <c r="D125" s="50" t="str">
        <f t="shared" si="1"/>
        <v>L43P2</v>
      </c>
    </row>
    <row r="126" spans="1:4">
      <c r="A126" s="47" t="s">
        <v>20</v>
      </c>
      <c r="B126" s="48" t="s">
        <v>191</v>
      </c>
      <c r="C126" s="49">
        <v>14550.153399999999</v>
      </c>
      <c r="D126" s="50" t="str">
        <f t="shared" si="1"/>
        <v>L42P2</v>
      </c>
    </row>
    <row r="127" spans="1:4">
      <c r="A127" s="47" t="s">
        <v>157</v>
      </c>
      <c r="B127" s="48" t="s">
        <v>191</v>
      </c>
      <c r="C127" s="49">
        <v>14600.544099999999</v>
      </c>
      <c r="D127" s="50" t="str">
        <f t="shared" si="1"/>
        <v>L41P2</v>
      </c>
    </row>
    <row r="128" spans="1:4">
      <c r="A128" s="47" t="s">
        <v>158</v>
      </c>
      <c r="B128" s="48" t="s">
        <v>191</v>
      </c>
      <c r="C128" s="49">
        <v>14704.7878</v>
      </c>
      <c r="D128" s="50" t="str">
        <f t="shared" si="1"/>
        <v>L40P2</v>
      </c>
    </row>
    <row r="129" spans="1:4">
      <c r="A129" s="47" t="s">
        <v>159</v>
      </c>
      <c r="B129" s="48" t="s">
        <v>191</v>
      </c>
      <c r="C129" s="49">
        <v>14829.6752</v>
      </c>
      <c r="D129" s="50" t="str">
        <f t="shared" si="1"/>
        <v>L39P2</v>
      </c>
    </row>
    <row r="130" spans="1:4">
      <c r="A130" s="47" t="s">
        <v>19</v>
      </c>
      <c r="B130" s="48" t="s">
        <v>191</v>
      </c>
      <c r="C130" s="49">
        <v>14942.776</v>
      </c>
      <c r="D130" s="50" t="str">
        <f t="shared" si="1"/>
        <v>L38P2</v>
      </c>
    </row>
    <row r="131" spans="1:4">
      <c r="A131" s="47" t="s">
        <v>160</v>
      </c>
      <c r="B131" s="48" t="s">
        <v>191</v>
      </c>
      <c r="C131" s="49">
        <v>15025.715399999999</v>
      </c>
      <c r="D131" s="50" t="str">
        <f t="shared" si="1"/>
        <v>L37P2</v>
      </c>
    </row>
    <row r="132" spans="1:4">
      <c r="A132" s="47" t="s">
        <v>161</v>
      </c>
      <c r="B132" s="48" t="s">
        <v>191</v>
      </c>
      <c r="C132" s="49">
        <v>15076.909299999999</v>
      </c>
      <c r="D132" s="50" t="str">
        <f t="shared" ref="D132:D195" si="2">CONCATENATE(A132,B132)</f>
        <v>L36P2</v>
      </c>
    </row>
    <row r="133" spans="1:4">
      <c r="A133" s="47" t="s">
        <v>162</v>
      </c>
      <c r="B133" s="48" t="s">
        <v>191</v>
      </c>
      <c r="C133" s="49">
        <v>15112.1875</v>
      </c>
      <c r="D133" s="50" t="str">
        <f t="shared" si="2"/>
        <v>L35P2</v>
      </c>
    </row>
    <row r="134" spans="1:4">
      <c r="A134" s="47" t="s">
        <v>18</v>
      </c>
      <c r="B134" s="48" t="s">
        <v>191</v>
      </c>
      <c r="C134" s="49">
        <v>15170.0201</v>
      </c>
      <c r="D134" s="50" t="str">
        <f t="shared" si="2"/>
        <v>L34P2</v>
      </c>
    </row>
    <row r="135" spans="1:4">
      <c r="A135" s="47" t="s">
        <v>163</v>
      </c>
      <c r="B135" s="48" t="s">
        <v>191</v>
      </c>
      <c r="C135" s="49">
        <v>15376.1078</v>
      </c>
      <c r="D135" s="50" t="str">
        <f t="shared" si="2"/>
        <v>L33P2</v>
      </c>
    </row>
    <row r="136" spans="1:4">
      <c r="A136" s="47" t="s">
        <v>164</v>
      </c>
      <c r="B136" s="48" t="s">
        <v>191</v>
      </c>
      <c r="C136" s="49">
        <v>15973.291300000001</v>
      </c>
      <c r="D136" s="50" t="str">
        <f t="shared" si="2"/>
        <v>L32P2</v>
      </c>
    </row>
    <row r="137" spans="1:4">
      <c r="A137" s="47" t="s">
        <v>165</v>
      </c>
      <c r="B137" s="48" t="s">
        <v>191</v>
      </c>
      <c r="C137" s="49">
        <v>17263.8711</v>
      </c>
      <c r="D137" s="50" t="str">
        <f t="shared" si="2"/>
        <v>L31P2</v>
      </c>
    </row>
    <row r="138" spans="1:4">
      <c r="A138" s="47" t="s">
        <v>17</v>
      </c>
      <c r="B138" s="48" t="s">
        <v>191</v>
      </c>
      <c r="C138" s="49">
        <v>18607.179499999998</v>
      </c>
      <c r="D138" s="50" t="str">
        <f t="shared" si="2"/>
        <v>L30P2</v>
      </c>
    </row>
    <row r="139" spans="1:4">
      <c r="A139" s="47" t="s">
        <v>166</v>
      </c>
      <c r="B139" s="48" t="s">
        <v>191</v>
      </c>
      <c r="C139" s="49">
        <v>19165.069899999999</v>
      </c>
      <c r="D139" s="50" t="str">
        <f t="shared" si="2"/>
        <v>L29P2</v>
      </c>
    </row>
    <row r="140" spans="1:4">
      <c r="A140" s="47" t="s">
        <v>167</v>
      </c>
      <c r="B140" s="48" t="s">
        <v>191</v>
      </c>
      <c r="C140" s="49">
        <v>19170.3616</v>
      </c>
      <c r="D140" s="50" t="str">
        <f t="shared" si="2"/>
        <v>L28P2</v>
      </c>
    </row>
    <row r="141" spans="1:4">
      <c r="A141" s="47" t="s">
        <v>168</v>
      </c>
      <c r="B141" s="48" t="s">
        <v>191</v>
      </c>
      <c r="C141" s="49">
        <v>18857.503400000001</v>
      </c>
      <c r="D141" s="50" t="str">
        <f t="shared" si="2"/>
        <v>L27P2</v>
      </c>
    </row>
    <row r="142" spans="1:4">
      <c r="A142" s="47" t="s">
        <v>169</v>
      </c>
      <c r="B142" s="48" t="s">
        <v>191</v>
      </c>
      <c r="C142" s="49">
        <v>18399.768</v>
      </c>
      <c r="D142" s="50" t="str">
        <f t="shared" si="2"/>
        <v>L26P2</v>
      </c>
    </row>
    <row r="143" spans="1:4">
      <c r="A143" s="47" t="s">
        <v>16</v>
      </c>
      <c r="B143" s="48" t="s">
        <v>191</v>
      </c>
      <c r="C143" s="49">
        <v>17885.9342</v>
      </c>
      <c r="D143" s="50" t="str">
        <f t="shared" si="2"/>
        <v>L25P2</v>
      </c>
    </row>
    <row r="144" spans="1:4">
      <c r="A144" s="47" t="s">
        <v>170</v>
      </c>
      <c r="B144" s="48" t="s">
        <v>191</v>
      </c>
      <c r="C144" s="49">
        <v>17417.2372</v>
      </c>
      <c r="D144" s="50" t="str">
        <f t="shared" si="2"/>
        <v>L24P2</v>
      </c>
    </row>
    <row r="145" spans="1:4">
      <c r="A145" s="47" t="s">
        <v>171</v>
      </c>
      <c r="B145" s="48" t="s">
        <v>191</v>
      </c>
      <c r="C145" s="49">
        <v>17101.148399999998</v>
      </c>
      <c r="D145" s="50" t="str">
        <f t="shared" si="2"/>
        <v>L23P2</v>
      </c>
    </row>
    <row r="146" spans="1:4">
      <c r="A146" s="47" t="s">
        <v>172</v>
      </c>
      <c r="B146" s="48" t="s">
        <v>191</v>
      </c>
      <c r="C146" s="49">
        <v>17024.640500000001</v>
      </c>
      <c r="D146" s="50" t="str">
        <f t="shared" si="2"/>
        <v>L22P2</v>
      </c>
    </row>
    <row r="147" spans="1:4">
      <c r="A147" s="47" t="s">
        <v>15</v>
      </c>
      <c r="B147" s="48" t="s">
        <v>191</v>
      </c>
      <c r="C147" s="49">
        <v>17218.157599999999</v>
      </c>
      <c r="D147" s="50" t="str">
        <f t="shared" si="2"/>
        <v>L21P2</v>
      </c>
    </row>
    <row r="148" spans="1:4">
      <c r="A148" s="47" t="s">
        <v>173</v>
      </c>
      <c r="B148" s="48" t="s">
        <v>191</v>
      </c>
      <c r="C148" s="49">
        <v>17653.368900000001</v>
      </c>
      <c r="D148" s="50" t="str">
        <f t="shared" si="2"/>
        <v>L20P2</v>
      </c>
    </row>
    <row r="149" spans="1:4">
      <c r="A149" s="47" t="s">
        <v>174</v>
      </c>
      <c r="B149" s="48" t="s">
        <v>191</v>
      </c>
      <c r="C149" s="49">
        <v>18264.094700000001</v>
      </c>
      <c r="D149" s="50" t="str">
        <f t="shared" si="2"/>
        <v>L19P2</v>
      </c>
    </row>
    <row r="150" spans="1:4">
      <c r="A150" s="47" t="s">
        <v>175</v>
      </c>
      <c r="B150" s="48" t="s">
        <v>191</v>
      </c>
      <c r="C150" s="49">
        <v>18969.841899999999</v>
      </c>
      <c r="D150" s="50" t="str">
        <f t="shared" si="2"/>
        <v>L18P2</v>
      </c>
    </row>
    <row r="151" spans="1:4">
      <c r="A151" s="47" t="s">
        <v>14</v>
      </c>
      <c r="B151" s="48" t="s">
        <v>191</v>
      </c>
      <c r="C151" s="49">
        <v>19694.285400000001</v>
      </c>
      <c r="D151" s="50" t="str">
        <f t="shared" si="2"/>
        <v>L17P2</v>
      </c>
    </row>
    <row r="152" spans="1:4">
      <c r="A152" s="47" t="s">
        <v>176</v>
      </c>
      <c r="B152" s="48" t="s">
        <v>191</v>
      </c>
      <c r="C152" s="49">
        <v>20376.861700000001</v>
      </c>
      <c r="D152" s="50" t="str">
        <f t="shared" si="2"/>
        <v>L16P2</v>
      </c>
    </row>
    <row r="153" spans="1:4">
      <c r="A153" s="47" t="s">
        <v>177</v>
      </c>
      <c r="B153" s="48" t="s">
        <v>191</v>
      </c>
      <c r="C153" s="49">
        <v>20977.709500000001</v>
      </c>
      <c r="D153" s="50" t="str">
        <f t="shared" si="2"/>
        <v>L15P2</v>
      </c>
    </row>
    <row r="154" spans="1:4">
      <c r="A154" s="47" t="s">
        <v>178</v>
      </c>
      <c r="B154" s="48" t="s">
        <v>191</v>
      </c>
      <c r="C154" s="49">
        <v>21478.880300000001</v>
      </c>
      <c r="D154" s="50" t="str">
        <f t="shared" si="2"/>
        <v>L14P2</v>
      </c>
    </row>
    <row r="155" spans="1:4">
      <c r="A155" s="47" t="s">
        <v>13</v>
      </c>
      <c r="B155" s="48" t="s">
        <v>191</v>
      </c>
      <c r="C155" s="49">
        <v>21884.279699999999</v>
      </c>
      <c r="D155" s="50" t="str">
        <f t="shared" si="2"/>
        <v>L13P2</v>
      </c>
    </row>
    <row r="156" spans="1:4">
      <c r="A156" s="47" t="s">
        <v>179</v>
      </c>
      <c r="B156" s="48" t="s">
        <v>191</v>
      </c>
      <c r="C156" s="49">
        <v>22219.657899999998</v>
      </c>
      <c r="D156" s="50" t="str">
        <f t="shared" si="2"/>
        <v>L12P2</v>
      </c>
    </row>
    <row r="157" spans="1:4">
      <c r="A157" s="47" t="s">
        <v>180</v>
      </c>
      <c r="B157" s="48" t="s">
        <v>191</v>
      </c>
      <c r="C157" s="49">
        <v>22529.105899999999</v>
      </c>
      <c r="D157" s="50" t="str">
        <f t="shared" si="2"/>
        <v>L11P2</v>
      </c>
    </row>
    <row r="158" spans="1:4">
      <c r="A158" s="47" t="s">
        <v>181</v>
      </c>
      <c r="B158" s="48" t="s">
        <v>191</v>
      </c>
      <c r="C158" s="49">
        <v>22879.553</v>
      </c>
      <c r="D158" s="50" t="str">
        <f t="shared" si="2"/>
        <v>L10P2</v>
      </c>
    </row>
    <row r="159" spans="1:4">
      <c r="A159" s="47" t="s">
        <v>12</v>
      </c>
      <c r="B159" s="48" t="s">
        <v>191</v>
      </c>
      <c r="C159" s="49">
        <v>23343.910199999998</v>
      </c>
      <c r="D159" s="50" t="str">
        <f t="shared" si="2"/>
        <v>L9P2</v>
      </c>
    </row>
    <row r="160" spans="1:4">
      <c r="A160" s="47" t="s">
        <v>182</v>
      </c>
      <c r="B160" s="48" t="s">
        <v>191</v>
      </c>
      <c r="C160" s="49">
        <v>24059.455399999999</v>
      </c>
      <c r="D160" s="50" t="str">
        <f t="shared" si="2"/>
        <v>L8P2</v>
      </c>
    </row>
    <row r="161" spans="1:4">
      <c r="A161" s="47" t="s">
        <v>183</v>
      </c>
      <c r="B161" s="48" t="s">
        <v>191</v>
      </c>
      <c r="C161" s="49">
        <v>25025.411599999999</v>
      </c>
      <c r="D161" s="50" t="str">
        <f t="shared" si="2"/>
        <v>L7P2</v>
      </c>
    </row>
    <row r="162" spans="1:4">
      <c r="A162" s="47" t="s">
        <v>184</v>
      </c>
      <c r="B162" s="48" t="s">
        <v>191</v>
      </c>
      <c r="C162" s="49">
        <v>26579.719700000001</v>
      </c>
      <c r="D162" s="50" t="str">
        <f t="shared" si="2"/>
        <v>L6P2</v>
      </c>
    </row>
    <row r="163" spans="1:4">
      <c r="A163" s="47" t="s">
        <v>11</v>
      </c>
      <c r="B163" s="48" t="s">
        <v>191</v>
      </c>
      <c r="C163" s="49">
        <v>27763.435700000002</v>
      </c>
      <c r="D163" s="50" t="str">
        <f t="shared" si="2"/>
        <v>L5P2</v>
      </c>
    </row>
    <row r="164" spans="1:4">
      <c r="A164" s="47" t="s">
        <v>185</v>
      </c>
      <c r="B164" s="48" t="s">
        <v>191</v>
      </c>
      <c r="C164" s="49">
        <v>30837.11</v>
      </c>
      <c r="D164" s="50" t="str">
        <f t="shared" si="2"/>
        <v>L4P2</v>
      </c>
    </row>
    <row r="165" spans="1:4">
      <c r="A165" s="47" t="s">
        <v>186</v>
      </c>
      <c r="B165" s="48" t="s">
        <v>191</v>
      </c>
      <c r="C165" s="49">
        <v>33015.4899</v>
      </c>
      <c r="D165" s="50" t="str">
        <f t="shared" si="2"/>
        <v>L3P2</v>
      </c>
    </row>
    <row r="166" spans="1:4">
      <c r="A166" s="47" t="s">
        <v>187</v>
      </c>
      <c r="B166" s="48" t="s">
        <v>191</v>
      </c>
      <c r="C166" s="49">
        <v>33082.663500000002</v>
      </c>
      <c r="D166" s="50" t="str">
        <f t="shared" si="2"/>
        <v>ROOF (GARDEN VILLA)P2</v>
      </c>
    </row>
    <row r="167" spans="1:4">
      <c r="A167" s="47" t="s">
        <v>188</v>
      </c>
      <c r="B167" s="48" t="s">
        <v>191</v>
      </c>
      <c r="C167" s="49">
        <v>36036.894699999997</v>
      </c>
      <c r="D167" s="50" t="str">
        <f t="shared" si="2"/>
        <v>L2 (TOWER)P2</v>
      </c>
    </row>
    <row r="168" spans="1:4">
      <c r="A168" s="47" t="s">
        <v>189</v>
      </c>
      <c r="B168" s="48" t="s">
        <v>191</v>
      </c>
      <c r="C168" s="49">
        <v>36186.080399999999</v>
      </c>
      <c r="D168" s="50" t="str">
        <f t="shared" si="2"/>
        <v>L2 (GARDEN VILLA)P2</v>
      </c>
    </row>
    <row r="169" spans="1:4">
      <c r="A169" s="47" t="s">
        <v>10</v>
      </c>
      <c r="B169" s="48" t="s">
        <v>191</v>
      </c>
      <c r="C169" s="49">
        <v>47710.175999999999</v>
      </c>
      <c r="D169" s="50" t="str">
        <f t="shared" si="2"/>
        <v>L1P2</v>
      </c>
    </row>
    <row r="170" spans="1:4">
      <c r="A170" s="47" t="s">
        <v>9</v>
      </c>
      <c r="B170" s="48" t="s">
        <v>191</v>
      </c>
      <c r="C170" s="49">
        <v>58264.49</v>
      </c>
      <c r="D170" s="50" t="str">
        <f t="shared" si="2"/>
        <v>LGP2</v>
      </c>
    </row>
    <row r="171" spans="1:4">
      <c r="A171" s="47" t="s">
        <v>8</v>
      </c>
      <c r="B171" s="48" t="s">
        <v>191</v>
      </c>
      <c r="C171" s="49">
        <v>61119.238299999997</v>
      </c>
      <c r="D171" s="50" t="str">
        <f t="shared" si="2"/>
        <v>B1P2</v>
      </c>
    </row>
    <row r="172" spans="1:4">
      <c r="A172" s="47" t="s">
        <v>149</v>
      </c>
      <c r="B172" s="48" t="s">
        <v>30</v>
      </c>
      <c r="C172" s="49">
        <v>4597.7689</v>
      </c>
      <c r="D172" s="50" t="str">
        <f t="shared" si="2"/>
        <v>MCRMP3</v>
      </c>
    </row>
    <row r="173" spans="1:4">
      <c r="A173" s="47" t="s">
        <v>150</v>
      </c>
      <c r="B173" s="48" t="s">
        <v>30</v>
      </c>
      <c r="C173" s="49">
        <v>8678.9673000000003</v>
      </c>
      <c r="D173" s="50" t="str">
        <f t="shared" si="2"/>
        <v>RDP3</v>
      </c>
    </row>
    <row r="174" spans="1:4">
      <c r="A174" s="47" t="s">
        <v>22</v>
      </c>
      <c r="B174" s="48" t="s">
        <v>30</v>
      </c>
      <c r="C174" s="49">
        <v>10948.4452</v>
      </c>
      <c r="D174" s="50" t="str">
        <f t="shared" si="2"/>
        <v>L50P3</v>
      </c>
    </row>
    <row r="175" spans="1:4">
      <c r="A175" s="47" t="s">
        <v>151</v>
      </c>
      <c r="B175" s="48" t="s">
        <v>30</v>
      </c>
      <c r="C175" s="49">
        <v>12254.670700000001</v>
      </c>
      <c r="D175" s="50" t="str">
        <f t="shared" si="2"/>
        <v>L49P3</v>
      </c>
    </row>
    <row r="176" spans="1:4">
      <c r="A176" s="47" t="s">
        <v>152</v>
      </c>
      <c r="B176" s="48" t="s">
        <v>30</v>
      </c>
      <c r="C176" s="49">
        <v>13086.3302</v>
      </c>
      <c r="D176" s="50" t="str">
        <f t="shared" si="2"/>
        <v>L48P3</v>
      </c>
    </row>
    <row r="177" spans="1:4">
      <c r="A177" s="47" t="s">
        <v>153</v>
      </c>
      <c r="B177" s="48" t="s">
        <v>30</v>
      </c>
      <c r="C177" s="49">
        <v>13539.55</v>
      </c>
      <c r="D177" s="50" t="str">
        <f t="shared" si="2"/>
        <v>L47P3</v>
      </c>
    </row>
    <row r="178" spans="1:4">
      <c r="A178" s="47" t="s">
        <v>21</v>
      </c>
      <c r="B178" s="48" t="s">
        <v>30</v>
      </c>
      <c r="C178" s="49">
        <v>13768.475700000001</v>
      </c>
      <c r="D178" s="50" t="str">
        <f t="shared" si="2"/>
        <v>L46P3</v>
      </c>
    </row>
    <row r="179" spans="1:4">
      <c r="A179" s="47" t="s">
        <v>154</v>
      </c>
      <c r="B179" s="48" t="s">
        <v>30</v>
      </c>
      <c r="C179" s="49">
        <v>13830.089099999999</v>
      </c>
      <c r="D179" s="50" t="str">
        <f t="shared" si="2"/>
        <v>L45P3</v>
      </c>
    </row>
    <row r="180" spans="1:4">
      <c r="A180" s="47" t="s">
        <v>155</v>
      </c>
      <c r="B180" s="48" t="s">
        <v>30</v>
      </c>
      <c r="C180" s="49">
        <v>13774.7796</v>
      </c>
      <c r="D180" s="50" t="str">
        <f t="shared" si="2"/>
        <v>L44P3</v>
      </c>
    </row>
    <row r="181" spans="1:4">
      <c r="A181" s="47" t="s">
        <v>156</v>
      </c>
      <c r="B181" s="48" t="s">
        <v>30</v>
      </c>
      <c r="C181" s="49">
        <v>13634.483200000001</v>
      </c>
      <c r="D181" s="50" t="str">
        <f t="shared" si="2"/>
        <v>L43P3</v>
      </c>
    </row>
    <row r="182" spans="1:4">
      <c r="A182" s="47" t="s">
        <v>20</v>
      </c>
      <c r="B182" s="48" t="s">
        <v>30</v>
      </c>
      <c r="C182" s="49">
        <v>13442.8935</v>
      </c>
      <c r="D182" s="50" t="str">
        <f t="shared" si="2"/>
        <v>L42P3</v>
      </c>
    </row>
    <row r="183" spans="1:4">
      <c r="A183" s="47" t="s">
        <v>157</v>
      </c>
      <c r="B183" s="48" t="s">
        <v>30</v>
      </c>
      <c r="C183" s="49">
        <v>13232.1515</v>
      </c>
      <c r="D183" s="50" t="str">
        <f t="shared" si="2"/>
        <v>L41P3</v>
      </c>
    </row>
    <row r="184" spans="1:4">
      <c r="A184" s="47" t="s">
        <v>158</v>
      </c>
      <c r="B184" s="48" t="s">
        <v>30</v>
      </c>
      <c r="C184" s="49">
        <v>13032.086600000001</v>
      </c>
      <c r="D184" s="50" t="str">
        <f t="shared" si="2"/>
        <v>L40P3</v>
      </c>
    </row>
    <row r="185" spans="1:4">
      <c r="A185" s="47" t="s">
        <v>159</v>
      </c>
      <c r="B185" s="48" t="s">
        <v>30</v>
      </c>
      <c r="C185" s="49">
        <v>12864.2559</v>
      </c>
      <c r="D185" s="50" t="str">
        <f t="shared" si="2"/>
        <v>L39P3</v>
      </c>
    </row>
    <row r="186" spans="1:4">
      <c r="A186" s="47" t="s">
        <v>19</v>
      </c>
      <c r="B186" s="48" t="s">
        <v>30</v>
      </c>
      <c r="C186" s="49">
        <v>12738.107900000001</v>
      </c>
      <c r="D186" s="50" t="str">
        <f t="shared" si="2"/>
        <v>L38P3</v>
      </c>
    </row>
    <row r="187" spans="1:4">
      <c r="A187" s="47" t="s">
        <v>160</v>
      </c>
      <c r="B187" s="48" t="s">
        <v>30</v>
      </c>
      <c r="C187" s="49">
        <v>12648.9432</v>
      </c>
      <c r="D187" s="50" t="str">
        <f t="shared" si="2"/>
        <v>L37P3</v>
      </c>
    </row>
    <row r="188" spans="1:4">
      <c r="A188" s="47" t="s">
        <v>161</v>
      </c>
      <c r="B188" s="48" t="s">
        <v>30</v>
      </c>
      <c r="C188" s="49">
        <v>12581.9774</v>
      </c>
      <c r="D188" s="50" t="str">
        <f t="shared" si="2"/>
        <v>L36P3</v>
      </c>
    </row>
    <row r="189" spans="1:4">
      <c r="A189" s="47" t="s">
        <v>162</v>
      </c>
      <c r="B189" s="48" t="s">
        <v>30</v>
      </c>
      <c r="C189" s="49">
        <v>12517.3771</v>
      </c>
      <c r="D189" s="50" t="str">
        <f t="shared" si="2"/>
        <v>L35P3</v>
      </c>
    </row>
    <row r="190" spans="1:4">
      <c r="A190" s="47" t="s">
        <v>18</v>
      </c>
      <c r="B190" s="48" t="s">
        <v>30</v>
      </c>
      <c r="C190" s="49">
        <v>12444.358200000001</v>
      </c>
      <c r="D190" s="50" t="str">
        <f t="shared" si="2"/>
        <v>L34P3</v>
      </c>
    </row>
    <row r="191" spans="1:4">
      <c r="A191" s="47" t="s">
        <v>163</v>
      </c>
      <c r="B191" s="48" t="s">
        <v>30</v>
      </c>
      <c r="C191" s="49">
        <v>12358.528700000001</v>
      </c>
      <c r="D191" s="50" t="str">
        <f t="shared" si="2"/>
        <v>L33P3</v>
      </c>
    </row>
    <row r="192" spans="1:4">
      <c r="A192" s="47" t="s">
        <v>164</v>
      </c>
      <c r="B192" s="48" t="s">
        <v>30</v>
      </c>
      <c r="C192" s="49">
        <v>12280.6651</v>
      </c>
      <c r="D192" s="50" t="str">
        <f t="shared" si="2"/>
        <v>L32P3</v>
      </c>
    </row>
    <row r="193" spans="1:4">
      <c r="A193" s="47" t="s">
        <v>165</v>
      </c>
      <c r="B193" s="48" t="s">
        <v>30</v>
      </c>
      <c r="C193" s="49">
        <v>12169.662200000001</v>
      </c>
      <c r="D193" s="50" t="str">
        <f t="shared" si="2"/>
        <v>L31P3</v>
      </c>
    </row>
    <row r="194" spans="1:4">
      <c r="A194" s="47" t="s">
        <v>17</v>
      </c>
      <c r="B194" s="48" t="s">
        <v>30</v>
      </c>
      <c r="C194" s="49">
        <v>11999.7273</v>
      </c>
      <c r="D194" s="50" t="str">
        <f t="shared" si="2"/>
        <v>L30P3</v>
      </c>
    </row>
    <row r="195" spans="1:4">
      <c r="A195" s="47" t="s">
        <v>166</v>
      </c>
      <c r="B195" s="48" t="s">
        <v>30</v>
      </c>
      <c r="C195" s="49">
        <v>11948.6003</v>
      </c>
      <c r="D195" s="50" t="str">
        <f t="shared" si="2"/>
        <v>L29P3</v>
      </c>
    </row>
    <row r="196" spans="1:4">
      <c r="A196" s="47" t="s">
        <v>167</v>
      </c>
      <c r="B196" s="48" t="s">
        <v>30</v>
      </c>
      <c r="C196" s="49">
        <v>11946.107400000001</v>
      </c>
      <c r="D196" s="50" t="str">
        <f t="shared" ref="D196:D259" si="3">CONCATENATE(A196,B196)</f>
        <v>L28P3</v>
      </c>
    </row>
    <row r="197" spans="1:4">
      <c r="A197" s="47" t="s">
        <v>168</v>
      </c>
      <c r="B197" s="48" t="s">
        <v>30</v>
      </c>
      <c r="C197" s="49">
        <v>12022.012699999999</v>
      </c>
      <c r="D197" s="50" t="str">
        <f t="shared" si="3"/>
        <v>L27P3</v>
      </c>
    </row>
    <row r="198" spans="1:4">
      <c r="A198" s="47" t="s">
        <v>169</v>
      </c>
      <c r="B198" s="48" t="s">
        <v>30</v>
      </c>
      <c r="C198" s="49">
        <v>12192.6181</v>
      </c>
      <c r="D198" s="50" t="str">
        <f t="shared" si="3"/>
        <v>L26P3</v>
      </c>
    </row>
    <row r="199" spans="1:4">
      <c r="A199" s="47" t="s">
        <v>16</v>
      </c>
      <c r="B199" s="48" t="s">
        <v>30</v>
      </c>
      <c r="C199" s="49">
        <v>12463.062400000001</v>
      </c>
      <c r="D199" s="50" t="str">
        <f t="shared" si="3"/>
        <v>L25P3</v>
      </c>
    </row>
    <row r="200" spans="1:4">
      <c r="A200" s="47" t="s">
        <v>170</v>
      </c>
      <c r="B200" s="48" t="s">
        <v>30</v>
      </c>
      <c r="C200" s="49">
        <v>12822.1014</v>
      </c>
      <c r="D200" s="50" t="str">
        <f t="shared" si="3"/>
        <v>L24P3</v>
      </c>
    </row>
    <row r="201" spans="1:4">
      <c r="A201" s="47" t="s">
        <v>171</v>
      </c>
      <c r="B201" s="48" t="s">
        <v>30</v>
      </c>
      <c r="C201" s="49">
        <v>13250.6734</v>
      </c>
      <c r="D201" s="50" t="str">
        <f t="shared" si="3"/>
        <v>L23P3</v>
      </c>
    </row>
    <row r="202" spans="1:4">
      <c r="A202" s="47" t="s">
        <v>172</v>
      </c>
      <c r="B202" s="48" t="s">
        <v>30</v>
      </c>
      <c r="C202" s="49">
        <v>13729.564399999999</v>
      </c>
      <c r="D202" s="50" t="str">
        <f t="shared" si="3"/>
        <v>L22P3</v>
      </c>
    </row>
    <row r="203" spans="1:4">
      <c r="A203" s="47" t="s">
        <v>15</v>
      </c>
      <c r="B203" s="48" t="s">
        <v>30</v>
      </c>
      <c r="C203" s="49">
        <v>14244.2073</v>
      </c>
      <c r="D203" s="50" t="str">
        <f t="shared" si="3"/>
        <v>L21P3</v>
      </c>
    </row>
    <row r="204" spans="1:4">
      <c r="A204" s="47" t="s">
        <v>173</v>
      </c>
      <c r="B204" s="48" t="s">
        <v>30</v>
      </c>
      <c r="C204" s="49">
        <v>14786.255300000001</v>
      </c>
      <c r="D204" s="50" t="str">
        <f t="shared" si="3"/>
        <v>L20P3</v>
      </c>
    </row>
    <row r="205" spans="1:4">
      <c r="A205" s="47" t="s">
        <v>174</v>
      </c>
      <c r="B205" s="48" t="s">
        <v>30</v>
      </c>
      <c r="C205" s="49">
        <v>15352.6068</v>
      </c>
      <c r="D205" s="50" t="str">
        <f t="shared" si="3"/>
        <v>L19P3</v>
      </c>
    </row>
    <row r="206" spans="1:4">
      <c r="A206" s="47" t="s">
        <v>175</v>
      </c>
      <c r="B206" s="48" t="s">
        <v>30</v>
      </c>
      <c r="C206" s="49">
        <v>15943.4735</v>
      </c>
      <c r="D206" s="50" t="str">
        <f t="shared" si="3"/>
        <v>L18P3</v>
      </c>
    </row>
    <row r="207" spans="1:4">
      <c r="A207" s="47" t="s">
        <v>14</v>
      </c>
      <c r="B207" s="48" t="s">
        <v>30</v>
      </c>
      <c r="C207" s="49">
        <v>16560.2961</v>
      </c>
      <c r="D207" s="50" t="str">
        <f t="shared" si="3"/>
        <v>L17P3</v>
      </c>
    </row>
    <row r="208" spans="1:4">
      <c r="A208" s="47" t="s">
        <v>176</v>
      </c>
      <c r="B208" s="48" t="s">
        <v>30</v>
      </c>
      <c r="C208" s="49">
        <v>17204.535500000002</v>
      </c>
      <c r="D208" s="50" t="str">
        <f t="shared" si="3"/>
        <v>L16P3</v>
      </c>
    </row>
    <row r="209" spans="1:4">
      <c r="A209" s="47" t="s">
        <v>177</v>
      </c>
      <c r="B209" s="48" t="s">
        <v>30</v>
      </c>
      <c r="C209" s="49">
        <v>17877.2785</v>
      </c>
      <c r="D209" s="50" t="str">
        <f t="shared" si="3"/>
        <v>L15P3</v>
      </c>
    </row>
    <row r="210" spans="1:4">
      <c r="A210" s="47" t="s">
        <v>178</v>
      </c>
      <c r="B210" s="48" t="s">
        <v>30</v>
      </c>
      <c r="C210" s="49">
        <v>18580.217799999999</v>
      </c>
      <c r="D210" s="50" t="str">
        <f t="shared" si="3"/>
        <v>L14P3</v>
      </c>
    </row>
    <row r="211" spans="1:4">
      <c r="A211" s="47" t="s">
        <v>13</v>
      </c>
      <c r="B211" s="48" t="s">
        <v>30</v>
      </c>
      <c r="C211" s="49">
        <v>19315.858199999999</v>
      </c>
      <c r="D211" s="50" t="str">
        <f t="shared" si="3"/>
        <v>L13P3</v>
      </c>
    </row>
    <row r="212" spans="1:4">
      <c r="A212" s="47" t="s">
        <v>179</v>
      </c>
      <c r="B212" s="48" t="s">
        <v>30</v>
      </c>
      <c r="C212" s="49">
        <v>20090.187600000001</v>
      </c>
      <c r="D212" s="50" t="str">
        <f t="shared" si="3"/>
        <v>L12P3</v>
      </c>
    </row>
    <row r="213" spans="1:4">
      <c r="A213" s="47" t="s">
        <v>180</v>
      </c>
      <c r="B213" s="48" t="s">
        <v>30</v>
      </c>
      <c r="C213" s="49">
        <v>20907.809499999999</v>
      </c>
      <c r="D213" s="50" t="str">
        <f t="shared" si="3"/>
        <v>L11P3</v>
      </c>
    </row>
    <row r="214" spans="1:4">
      <c r="A214" s="47" t="s">
        <v>181</v>
      </c>
      <c r="B214" s="48" t="s">
        <v>30</v>
      </c>
      <c r="C214" s="49">
        <v>21780.011600000002</v>
      </c>
      <c r="D214" s="50" t="str">
        <f t="shared" si="3"/>
        <v>L10P3</v>
      </c>
    </row>
    <row r="215" spans="1:4">
      <c r="A215" s="47" t="s">
        <v>12</v>
      </c>
      <c r="B215" s="48" t="s">
        <v>30</v>
      </c>
      <c r="C215" s="49">
        <v>22690.133999999998</v>
      </c>
      <c r="D215" s="50" t="str">
        <f t="shared" si="3"/>
        <v>L9P3</v>
      </c>
    </row>
    <row r="216" spans="1:4">
      <c r="A216" s="47" t="s">
        <v>182</v>
      </c>
      <c r="B216" s="48" t="s">
        <v>30</v>
      </c>
      <c r="C216" s="49">
        <v>23638.7405</v>
      </c>
      <c r="D216" s="50" t="str">
        <f t="shared" si="3"/>
        <v>L8P3</v>
      </c>
    </row>
    <row r="217" spans="1:4">
      <c r="A217" s="47" t="s">
        <v>183</v>
      </c>
      <c r="B217" s="48" t="s">
        <v>30</v>
      </c>
      <c r="C217" s="49">
        <v>24440.712500000001</v>
      </c>
      <c r="D217" s="50" t="str">
        <f t="shared" si="3"/>
        <v>L7P3</v>
      </c>
    </row>
    <row r="218" spans="1:4">
      <c r="A218" s="47" t="s">
        <v>184</v>
      </c>
      <c r="B218" s="48" t="s">
        <v>30</v>
      </c>
      <c r="C218" s="49">
        <v>25040.649099999999</v>
      </c>
      <c r="D218" s="50" t="str">
        <f t="shared" si="3"/>
        <v>L6P3</v>
      </c>
    </row>
    <row r="219" spans="1:4">
      <c r="A219" s="47" t="s">
        <v>11</v>
      </c>
      <c r="B219" s="48" t="s">
        <v>30</v>
      </c>
      <c r="C219" s="49">
        <v>24528.830300000001</v>
      </c>
      <c r="D219" s="50" t="str">
        <f t="shared" si="3"/>
        <v>L5P3</v>
      </c>
    </row>
    <row r="220" spans="1:4">
      <c r="A220" s="47" t="s">
        <v>185</v>
      </c>
      <c r="B220" s="48" t="s">
        <v>30</v>
      </c>
      <c r="C220" s="49">
        <v>22974.488799999999</v>
      </c>
      <c r="D220" s="50" t="str">
        <f t="shared" si="3"/>
        <v>L4P3</v>
      </c>
    </row>
    <row r="221" spans="1:4">
      <c r="A221" s="47" t="s">
        <v>186</v>
      </c>
      <c r="B221" s="48" t="s">
        <v>30</v>
      </c>
      <c r="C221" s="49">
        <v>20248.196400000001</v>
      </c>
      <c r="D221" s="50" t="str">
        <f t="shared" si="3"/>
        <v>L3P3</v>
      </c>
    </row>
    <row r="222" spans="1:4">
      <c r="A222" s="47" t="s">
        <v>187</v>
      </c>
      <c r="B222" s="48" t="s">
        <v>30</v>
      </c>
      <c r="C222" s="49">
        <v>20295.471399999999</v>
      </c>
      <c r="D222" s="50" t="str">
        <f t="shared" si="3"/>
        <v>ROOF (GARDEN VILLA)P3</v>
      </c>
    </row>
    <row r="223" spans="1:4">
      <c r="A223" s="47" t="s">
        <v>188</v>
      </c>
      <c r="B223" s="48" t="s">
        <v>30</v>
      </c>
      <c r="C223" s="49">
        <v>18994.262500000001</v>
      </c>
      <c r="D223" s="50" t="str">
        <f t="shared" si="3"/>
        <v>L2 (TOWER)P3</v>
      </c>
    </row>
    <row r="224" spans="1:4">
      <c r="A224" s="47" t="s">
        <v>189</v>
      </c>
      <c r="B224" s="48" t="s">
        <v>30</v>
      </c>
      <c r="C224" s="49">
        <v>19063.693299999999</v>
      </c>
      <c r="D224" s="50" t="str">
        <f t="shared" si="3"/>
        <v>L2 (GARDEN VILLA)P3</v>
      </c>
    </row>
    <row r="225" spans="1:4">
      <c r="A225" s="47" t="s">
        <v>10</v>
      </c>
      <c r="B225" s="48" t="s">
        <v>30</v>
      </c>
      <c r="C225" s="49">
        <v>26549.1391</v>
      </c>
      <c r="D225" s="50" t="str">
        <f t="shared" si="3"/>
        <v>L1P3</v>
      </c>
    </row>
    <row r="226" spans="1:4">
      <c r="A226" s="47" t="s">
        <v>9</v>
      </c>
      <c r="B226" s="48" t="s">
        <v>30</v>
      </c>
      <c r="C226" s="49">
        <v>31861.610799999999</v>
      </c>
      <c r="D226" s="50" t="str">
        <f t="shared" si="3"/>
        <v>LGP3</v>
      </c>
    </row>
    <row r="227" spans="1:4">
      <c r="A227" s="47" t="s">
        <v>8</v>
      </c>
      <c r="B227" s="48" t="s">
        <v>30</v>
      </c>
      <c r="C227" s="49">
        <v>33029.036699999997</v>
      </c>
      <c r="D227" s="50" t="str">
        <f t="shared" si="3"/>
        <v>B1P3</v>
      </c>
    </row>
    <row r="228" spans="1:4">
      <c r="A228" s="47" t="s">
        <v>149</v>
      </c>
      <c r="B228" s="48" t="s">
        <v>192</v>
      </c>
      <c r="C228" s="49">
        <v>4455.1514999999999</v>
      </c>
      <c r="D228" s="50" t="str">
        <f t="shared" si="3"/>
        <v>MCRMP4</v>
      </c>
    </row>
    <row r="229" spans="1:4">
      <c r="A229" s="47" t="s">
        <v>150</v>
      </c>
      <c r="B229" s="48" t="s">
        <v>192</v>
      </c>
      <c r="C229" s="49">
        <v>9635.8723000000009</v>
      </c>
      <c r="D229" s="50" t="str">
        <f t="shared" si="3"/>
        <v>RDP4</v>
      </c>
    </row>
    <row r="230" spans="1:4">
      <c r="A230" s="47" t="s">
        <v>22</v>
      </c>
      <c r="B230" s="48" t="s">
        <v>192</v>
      </c>
      <c r="C230" s="49">
        <v>11924.289500000001</v>
      </c>
      <c r="D230" s="50" t="str">
        <f t="shared" si="3"/>
        <v>L50P4</v>
      </c>
    </row>
    <row r="231" spans="1:4">
      <c r="A231" s="47" t="s">
        <v>151</v>
      </c>
      <c r="B231" s="48" t="s">
        <v>192</v>
      </c>
      <c r="C231" s="49">
        <v>13401.6181</v>
      </c>
      <c r="D231" s="50" t="str">
        <f t="shared" si="3"/>
        <v>L49P4</v>
      </c>
    </row>
    <row r="232" spans="1:4">
      <c r="A232" s="47" t="s">
        <v>152</v>
      </c>
      <c r="B232" s="48" t="s">
        <v>192</v>
      </c>
      <c r="C232" s="49">
        <v>14376.735500000001</v>
      </c>
      <c r="D232" s="50" t="str">
        <f t="shared" si="3"/>
        <v>L48P4</v>
      </c>
    </row>
    <row r="233" spans="1:4">
      <c r="A233" s="47" t="s">
        <v>153</v>
      </c>
      <c r="B233" s="48" t="s">
        <v>192</v>
      </c>
      <c r="C233" s="49">
        <v>14967.234200000001</v>
      </c>
      <c r="D233" s="50" t="str">
        <f t="shared" si="3"/>
        <v>L47P4</v>
      </c>
    </row>
    <row r="234" spans="1:4">
      <c r="A234" s="47" t="s">
        <v>21</v>
      </c>
      <c r="B234" s="48" t="s">
        <v>192</v>
      </c>
      <c r="C234" s="49">
        <v>15168.2</v>
      </c>
      <c r="D234" s="50" t="str">
        <f t="shared" si="3"/>
        <v>L46P4</v>
      </c>
    </row>
    <row r="235" spans="1:4">
      <c r="A235" s="47" t="s">
        <v>154</v>
      </c>
      <c r="B235" s="48" t="s">
        <v>192</v>
      </c>
      <c r="C235" s="49">
        <v>15093.398999999999</v>
      </c>
      <c r="D235" s="50" t="str">
        <f t="shared" si="3"/>
        <v>L45P4</v>
      </c>
    </row>
    <row r="236" spans="1:4">
      <c r="A236" s="47" t="s">
        <v>155</v>
      </c>
      <c r="B236" s="48" t="s">
        <v>192</v>
      </c>
      <c r="C236" s="49">
        <v>14858.286400000001</v>
      </c>
      <c r="D236" s="50" t="str">
        <f t="shared" si="3"/>
        <v>L44P4</v>
      </c>
    </row>
    <row r="237" spans="1:4">
      <c r="A237" s="47" t="s">
        <v>156</v>
      </c>
      <c r="B237" s="48" t="s">
        <v>192</v>
      </c>
      <c r="C237" s="49">
        <v>14596.157800000001</v>
      </c>
      <c r="D237" s="50" t="str">
        <f t="shared" si="3"/>
        <v>L43P4</v>
      </c>
    </row>
    <row r="238" spans="1:4">
      <c r="A238" s="47" t="s">
        <v>20</v>
      </c>
      <c r="B238" s="48" t="s">
        <v>192</v>
      </c>
      <c r="C238" s="49">
        <v>14414.743899999999</v>
      </c>
      <c r="D238" s="50" t="str">
        <f t="shared" si="3"/>
        <v>L42P4</v>
      </c>
    </row>
    <row r="239" spans="1:4">
      <c r="A239" s="47" t="s">
        <v>157</v>
      </c>
      <c r="B239" s="48" t="s">
        <v>192</v>
      </c>
      <c r="C239" s="49">
        <v>14376.046899999999</v>
      </c>
      <c r="D239" s="50" t="str">
        <f t="shared" si="3"/>
        <v>L41P4</v>
      </c>
    </row>
    <row r="240" spans="1:4">
      <c r="A240" s="47" t="s">
        <v>158</v>
      </c>
      <c r="B240" s="48" t="s">
        <v>192</v>
      </c>
      <c r="C240" s="49">
        <v>14487.3074</v>
      </c>
      <c r="D240" s="50" t="str">
        <f t="shared" si="3"/>
        <v>L40P4</v>
      </c>
    </row>
    <row r="241" spans="1:4">
      <c r="A241" s="47" t="s">
        <v>159</v>
      </c>
      <c r="B241" s="48" t="s">
        <v>192</v>
      </c>
      <c r="C241" s="49">
        <v>14716.555399999999</v>
      </c>
      <c r="D241" s="50" t="str">
        <f t="shared" si="3"/>
        <v>L39P4</v>
      </c>
    </row>
    <row r="242" spans="1:4">
      <c r="A242" s="47" t="s">
        <v>19</v>
      </c>
      <c r="B242" s="48" t="s">
        <v>192</v>
      </c>
      <c r="C242" s="49">
        <v>15016.3208</v>
      </c>
      <c r="D242" s="50" t="str">
        <f t="shared" si="3"/>
        <v>L38P4</v>
      </c>
    </row>
    <row r="243" spans="1:4">
      <c r="A243" s="47" t="s">
        <v>160</v>
      </c>
      <c r="B243" s="48" t="s">
        <v>192</v>
      </c>
      <c r="C243" s="49">
        <v>15339.432699999999</v>
      </c>
      <c r="D243" s="50" t="str">
        <f t="shared" si="3"/>
        <v>L37P4</v>
      </c>
    </row>
    <row r="244" spans="1:4">
      <c r="A244" s="47" t="s">
        <v>161</v>
      </c>
      <c r="B244" s="48" t="s">
        <v>192</v>
      </c>
      <c r="C244" s="49">
        <v>15641.6065</v>
      </c>
      <c r="D244" s="50" t="str">
        <f t="shared" si="3"/>
        <v>L36P4</v>
      </c>
    </row>
    <row r="245" spans="1:4">
      <c r="A245" s="47" t="s">
        <v>162</v>
      </c>
      <c r="B245" s="48" t="s">
        <v>192</v>
      </c>
      <c r="C245" s="49">
        <v>15886.413399999999</v>
      </c>
      <c r="D245" s="50" t="str">
        <f t="shared" si="3"/>
        <v>L35P4</v>
      </c>
    </row>
    <row r="246" spans="1:4">
      <c r="A246" s="47" t="s">
        <v>18</v>
      </c>
      <c r="B246" s="48" t="s">
        <v>192</v>
      </c>
      <c r="C246" s="49">
        <v>16063.02</v>
      </c>
      <c r="D246" s="50" t="str">
        <f t="shared" si="3"/>
        <v>L34P4</v>
      </c>
    </row>
    <row r="247" spans="1:4">
      <c r="A247" s="47" t="s">
        <v>163</v>
      </c>
      <c r="B247" s="48" t="s">
        <v>192</v>
      </c>
      <c r="C247" s="49">
        <v>16269.8172</v>
      </c>
      <c r="D247" s="50" t="str">
        <f t="shared" si="3"/>
        <v>L33P4</v>
      </c>
    </row>
    <row r="248" spans="1:4">
      <c r="A248" s="47" t="s">
        <v>164</v>
      </c>
      <c r="B248" s="48" t="s">
        <v>192</v>
      </c>
      <c r="C248" s="49">
        <v>16767.3855</v>
      </c>
      <c r="D248" s="50" t="str">
        <f t="shared" si="3"/>
        <v>L32P4</v>
      </c>
    </row>
    <row r="249" spans="1:4">
      <c r="A249" s="47" t="s">
        <v>165</v>
      </c>
      <c r="B249" s="48" t="s">
        <v>192</v>
      </c>
      <c r="C249" s="49">
        <v>17914.402600000001</v>
      </c>
      <c r="D249" s="50" t="str">
        <f t="shared" si="3"/>
        <v>L31P4</v>
      </c>
    </row>
    <row r="250" spans="1:4">
      <c r="A250" s="47" t="s">
        <v>17</v>
      </c>
      <c r="B250" s="48" t="s">
        <v>192</v>
      </c>
      <c r="C250" s="49">
        <v>19101.736799999999</v>
      </c>
      <c r="D250" s="50" t="str">
        <f t="shared" si="3"/>
        <v>L30P4</v>
      </c>
    </row>
    <row r="251" spans="1:4">
      <c r="A251" s="47" t="s">
        <v>166</v>
      </c>
      <c r="B251" s="48" t="s">
        <v>192</v>
      </c>
      <c r="C251" s="49">
        <v>19507.3753</v>
      </c>
      <c r="D251" s="50" t="str">
        <f t="shared" si="3"/>
        <v>L29P4</v>
      </c>
    </row>
    <row r="252" spans="1:4">
      <c r="A252" s="47" t="s">
        <v>167</v>
      </c>
      <c r="B252" s="48" t="s">
        <v>192</v>
      </c>
      <c r="C252" s="49">
        <v>19399.920300000002</v>
      </c>
      <c r="D252" s="50" t="str">
        <f t="shared" si="3"/>
        <v>L28P4</v>
      </c>
    </row>
    <row r="253" spans="1:4">
      <c r="A253" s="47" t="s">
        <v>168</v>
      </c>
      <c r="B253" s="48" t="s">
        <v>192</v>
      </c>
      <c r="C253" s="49">
        <v>19039.443200000002</v>
      </c>
      <c r="D253" s="50" t="str">
        <f t="shared" si="3"/>
        <v>L27P4</v>
      </c>
    </row>
    <row r="254" spans="1:4">
      <c r="A254" s="47" t="s">
        <v>169</v>
      </c>
      <c r="B254" s="48" t="s">
        <v>192</v>
      </c>
      <c r="C254" s="49">
        <v>18594.7592</v>
      </c>
      <c r="D254" s="50" t="str">
        <f t="shared" si="3"/>
        <v>L26P4</v>
      </c>
    </row>
    <row r="255" spans="1:4">
      <c r="A255" s="47" t="s">
        <v>16</v>
      </c>
      <c r="B255" s="48" t="s">
        <v>192</v>
      </c>
      <c r="C255" s="49">
        <v>18139.693299999999</v>
      </c>
      <c r="D255" s="50" t="str">
        <f t="shared" si="3"/>
        <v>L25P4</v>
      </c>
    </row>
    <row r="256" spans="1:4">
      <c r="A256" s="47" t="s">
        <v>170</v>
      </c>
      <c r="B256" s="48" t="s">
        <v>192</v>
      </c>
      <c r="C256" s="49">
        <v>17754.025600000001</v>
      </c>
      <c r="D256" s="50" t="str">
        <f t="shared" si="3"/>
        <v>L24P4</v>
      </c>
    </row>
    <row r="257" spans="1:4">
      <c r="A257" s="47" t="s">
        <v>171</v>
      </c>
      <c r="B257" s="48" t="s">
        <v>192</v>
      </c>
      <c r="C257" s="49">
        <v>17520.5059</v>
      </c>
      <c r="D257" s="50" t="str">
        <f t="shared" si="3"/>
        <v>L23P4</v>
      </c>
    </row>
    <row r="258" spans="1:4">
      <c r="A258" s="47" t="s">
        <v>172</v>
      </c>
      <c r="B258" s="48" t="s">
        <v>192</v>
      </c>
      <c r="C258" s="49">
        <v>17507.9575</v>
      </c>
      <c r="D258" s="50" t="str">
        <f t="shared" si="3"/>
        <v>L22P4</v>
      </c>
    </row>
    <row r="259" spans="1:4">
      <c r="A259" s="47" t="s">
        <v>15</v>
      </c>
      <c r="B259" s="48" t="s">
        <v>192</v>
      </c>
      <c r="C259" s="49">
        <v>17743.935600000001</v>
      </c>
      <c r="D259" s="50" t="str">
        <f t="shared" si="3"/>
        <v>L21P4</v>
      </c>
    </row>
    <row r="260" spans="1:4">
      <c r="A260" s="47" t="s">
        <v>173</v>
      </c>
      <c r="B260" s="48" t="s">
        <v>192</v>
      </c>
      <c r="C260" s="49">
        <v>18207.4581</v>
      </c>
      <c r="D260" s="50" t="str">
        <f t="shared" ref="D260:D323" si="4">CONCATENATE(A260,B260)</f>
        <v>L20P4</v>
      </c>
    </row>
    <row r="261" spans="1:4">
      <c r="A261" s="47" t="s">
        <v>174</v>
      </c>
      <c r="B261" s="48" t="s">
        <v>192</v>
      </c>
      <c r="C261" s="49">
        <v>18840</v>
      </c>
      <c r="D261" s="50" t="str">
        <f t="shared" si="4"/>
        <v>L19P4</v>
      </c>
    </row>
    <row r="262" spans="1:4">
      <c r="A262" s="47" t="s">
        <v>175</v>
      </c>
      <c r="B262" s="48" t="s">
        <v>192</v>
      </c>
      <c r="C262" s="49">
        <v>19563.2215</v>
      </c>
      <c r="D262" s="50" t="str">
        <f t="shared" si="4"/>
        <v>L18P4</v>
      </c>
    </row>
    <row r="263" spans="1:4">
      <c r="A263" s="47" t="s">
        <v>14</v>
      </c>
      <c r="B263" s="48" t="s">
        <v>192</v>
      </c>
      <c r="C263" s="49">
        <v>20295.730599999999</v>
      </c>
      <c r="D263" s="50" t="str">
        <f t="shared" si="4"/>
        <v>L17P4</v>
      </c>
    </row>
    <row r="264" spans="1:4">
      <c r="A264" s="47" t="s">
        <v>176</v>
      </c>
      <c r="B264" s="48" t="s">
        <v>192</v>
      </c>
      <c r="C264" s="49">
        <v>20967.535400000001</v>
      </c>
      <c r="D264" s="50" t="str">
        <f t="shared" si="4"/>
        <v>L16P4</v>
      </c>
    </row>
    <row r="265" spans="1:4">
      <c r="A265" s="47" t="s">
        <v>177</v>
      </c>
      <c r="B265" s="48" t="s">
        <v>192</v>
      </c>
      <c r="C265" s="49">
        <v>21531.046600000001</v>
      </c>
      <c r="D265" s="50" t="str">
        <f t="shared" si="4"/>
        <v>L15P4</v>
      </c>
    </row>
    <row r="266" spans="1:4">
      <c r="A266" s="47" t="s">
        <v>178</v>
      </c>
      <c r="B266" s="48" t="s">
        <v>192</v>
      </c>
      <c r="C266" s="49">
        <v>21967.549299999999</v>
      </c>
      <c r="D266" s="50" t="str">
        <f t="shared" si="4"/>
        <v>L14P4</v>
      </c>
    </row>
    <row r="267" spans="1:4">
      <c r="A267" s="47" t="s">
        <v>13</v>
      </c>
      <c r="B267" s="48" t="s">
        <v>192</v>
      </c>
      <c r="C267" s="49">
        <v>22288.7732</v>
      </c>
      <c r="D267" s="50" t="str">
        <f t="shared" si="4"/>
        <v>L13P4</v>
      </c>
    </row>
    <row r="268" spans="1:4">
      <c r="A268" s="47" t="s">
        <v>179</v>
      </c>
      <c r="B268" s="48" t="s">
        <v>192</v>
      </c>
      <c r="C268" s="49">
        <v>22534.9663</v>
      </c>
      <c r="D268" s="50" t="str">
        <f t="shared" si="4"/>
        <v>L12P4</v>
      </c>
    </row>
    <row r="269" spans="1:4">
      <c r="A269" s="47" t="s">
        <v>180</v>
      </c>
      <c r="B269" s="48" t="s">
        <v>192</v>
      </c>
      <c r="C269" s="49">
        <v>22766.370599999998</v>
      </c>
      <c r="D269" s="50" t="str">
        <f t="shared" si="4"/>
        <v>L11P4</v>
      </c>
    </row>
    <row r="270" spans="1:4">
      <c r="A270" s="47" t="s">
        <v>181</v>
      </c>
      <c r="B270" s="48" t="s">
        <v>192</v>
      </c>
      <c r="C270" s="49">
        <v>23062.6577</v>
      </c>
      <c r="D270" s="50" t="str">
        <f t="shared" si="4"/>
        <v>L10P4</v>
      </c>
    </row>
    <row r="271" spans="1:4">
      <c r="A271" s="47" t="s">
        <v>12</v>
      </c>
      <c r="B271" s="48" t="s">
        <v>192</v>
      </c>
      <c r="C271" s="49">
        <v>23501.291799999999</v>
      </c>
      <c r="D271" s="50" t="str">
        <f t="shared" si="4"/>
        <v>L9P4</v>
      </c>
    </row>
    <row r="272" spans="1:4">
      <c r="A272" s="47" t="s">
        <v>182</v>
      </c>
      <c r="B272" s="48" t="s">
        <v>192</v>
      </c>
      <c r="C272" s="49">
        <v>24229.6685</v>
      </c>
      <c r="D272" s="50" t="str">
        <f t="shared" si="4"/>
        <v>L8P4</v>
      </c>
    </row>
    <row r="273" spans="1:4">
      <c r="A273" s="47" t="s">
        <v>183</v>
      </c>
      <c r="B273" s="48" t="s">
        <v>192</v>
      </c>
      <c r="C273" s="49">
        <v>25260.422600000002</v>
      </c>
      <c r="D273" s="50" t="str">
        <f t="shared" si="4"/>
        <v>L7P4</v>
      </c>
    </row>
    <row r="274" spans="1:4">
      <c r="A274" s="47" t="s">
        <v>184</v>
      </c>
      <c r="B274" s="48" t="s">
        <v>192</v>
      </c>
      <c r="C274" s="49">
        <v>26969.2621</v>
      </c>
      <c r="D274" s="50" t="str">
        <f t="shared" si="4"/>
        <v>L6P4</v>
      </c>
    </row>
    <row r="275" spans="1:4">
      <c r="A275" s="47" t="s">
        <v>11</v>
      </c>
      <c r="B275" s="48" t="s">
        <v>192</v>
      </c>
      <c r="C275" s="49">
        <v>28314.569200000002</v>
      </c>
      <c r="D275" s="50" t="str">
        <f t="shared" si="4"/>
        <v>L5P4</v>
      </c>
    </row>
    <row r="276" spans="1:4">
      <c r="A276" s="47" t="s">
        <v>185</v>
      </c>
      <c r="B276" s="48" t="s">
        <v>192</v>
      </c>
      <c r="C276" s="49">
        <v>31272.7343</v>
      </c>
      <c r="D276" s="50" t="str">
        <f t="shared" si="4"/>
        <v>L4P4</v>
      </c>
    </row>
    <row r="277" spans="1:4">
      <c r="A277" s="47" t="s">
        <v>186</v>
      </c>
      <c r="B277" s="48" t="s">
        <v>192</v>
      </c>
      <c r="C277" s="49">
        <v>33020.005599999997</v>
      </c>
      <c r="D277" s="50" t="str">
        <f t="shared" si="4"/>
        <v>L3P4</v>
      </c>
    </row>
    <row r="278" spans="1:4">
      <c r="A278" s="47" t="s">
        <v>187</v>
      </c>
      <c r="B278" s="48" t="s">
        <v>192</v>
      </c>
      <c r="C278" s="49">
        <v>33103.304600000003</v>
      </c>
      <c r="D278" s="50" t="str">
        <f t="shared" si="4"/>
        <v>ROOF (GARDEN VILLA)P4</v>
      </c>
    </row>
    <row r="279" spans="1:4">
      <c r="A279" s="47" t="s">
        <v>188</v>
      </c>
      <c r="B279" s="48" t="s">
        <v>192</v>
      </c>
      <c r="C279" s="49">
        <v>37592.142999999996</v>
      </c>
      <c r="D279" s="50" t="str">
        <f t="shared" si="4"/>
        <v>L2 (TOWER)P4</v>
      </c>
    </row>
    <row r="280" spans="1:4">
      <c r="A280" s="47" t="s">
        <v>189</v>
      </c>
      <c r="B280" s="48" t="s">
        <v>192</v>
      </c>
      <c r="C280" s="49">
        <v>37781.1037</v>
      </c>
      <c r="D280" s="50" t="str">
        <f t="shared" si="4"/>
        <v>L2 (GARDEN VILLA)P4</v>
      </c>
    </row>
    <row r="281" spans="1:4">
      <c r="A281" s="47" t="s">
        <v>10</v>
      </c>
      <c r="B281" s="48" t="s">
        <v>192</v>
      </c>
      <c r="C281" s="49">
        <v>42664.260799999996</v>
      </c>
      <c r="D281" s="50" t="str">
        <f t="shared" si="4"/>
        <v>L1P4</v>
      </c>
    </row>
    <row r="282" spans="1:4">
      <c r="A282" s="47" t="s">
        <v>9</v>
      </c>
      <c r="B282" s="48" t="s">
        <v>192</v>
      </c>
      <c r="C282" s="49">
        <v>47317.530400000003</v>
      </c>
      <c r="D282" s="50" t="str">
        <f t="shared" si="4"/>
        <v>LGP4</v>
      </c>
    </row>
    <row r="283" spans="1:4">
      <c r="A283" s="47" t="s">
        <v>8</v>
      </c>
      <c r="B283" s="48" t="s">
        <v>192</v>
      </c>
      <c r="C283" s="49">
        <v>48622.964599999999</v>
      </c>
      <c r="D283" s="50" t="str">
        <f t="shared" si="4"/>
        <v>B1P4</v>
      </c>
    </row>
    <row r="284" spans="1:4">
      <c r="A284" s="47" t="s">
        <v>23</v>
      </c>
      <c r="B284" s="48" t="s">
        <v>193</v>
      </c>
      <c r="C284" s="49">
        <v>1390.3045999999999</v>
      </c>
      <c r="D284" s="50" t="str">
        <f t="shared" si="4"/>
        <v>ROOF OVER MCRMP5</v>
      </c>
    </row>
    <row r="285" spans="1:4">
      <c r="A285" s="47" t="s">
        <v>149</v>
      </c>
      <c r="B285" s="48" t="s">
        <v>193</v>
      </c>
      <c r="C285" s="49">
        <v>5976.2924999999996</v>
      </c>
      <c r="D285" s="50" t="str">
        <f t="shared" si="4"/>
        <v>MCRMP5</v>
      </c>
    </row>
    <row r="286" spans="1:4">
      <c r="A286" s="47" t="s">
        <v>150</v>
      </c>
      <c r="B286" s="48" t="s">
        <v>193</v>
      </c>
      <c r="C286" s="49">
        <v>6027.4353000000001</v>
      </c>
      <c r="D286" s="50" t="str">
        <f t="shared" si="4"/>
        <v>RDP5</v>
      </c>
    </row>
    <row r="287" spans="1:4">
      <c r="A287" s="47" t="s">
        <v>22</v>
      </c>
      <c r="B287" s="48" t="s">
        <v>193</v>
      </c>
      <c r="C287" s="49">
        <v>6605.9943000000003</v>
      </c>
      <c r="D287" s="50" t="str">
        <f t="shared" si="4"/>
        <v>L50P5</v>
      </c>
    </row>
    <row r="288" spans="1:4">
      <c r="A288" s="47" t="s">
        <v>151</v>
      </c>
      <c r="B288" s="48" t="s">
        <v>193</v>
      </c>
      <c r="C288" s="49">
        <v>7168.8684000000003</v>
      </c>
      <c r="D288" s="50" t="str">
        <f t="shared" si="4"/>
        <v>L49P5</v>
      </c>
    </row>
    <row r="289" spans="1:4">
      <c r="A289" s="47" t="s">
        <v>152</v>
      </c>
      <c r="B289" s="48" t="s">
        <v>193</v>
      </c>
      <c r="C289" s="49">
        <v>7410.3319000000001</v>
      </c>
      <c r="D289" s="50" t="str">
        <f t="shared" si="4"/>
        <v>L48P5</v>
      </c>
    </row>
    <row r="290" spans="1:4">
      <c r="A290" s="47" t="s">
        <v>153</v>
      </c>
      <c r="B290" s="48" t="s">
        <v>193</v>
      </c>
      <c r="C290" s="49">
        <v>7460.5183999999999</v>
      </c>
      <c r="D290" s="50" t="str">
        <f t="shared" si="4"/>
        <v>L47P5</v>
      </c>
    </row>
    <row r="291" spans="1:4">
      <c r="A291" s="47" t="s">
        <v>21</v>
      </c>
      <c r="B291" s="48" t="s">
        <v>193</v>
      </c>
      <c r="C291" s="49">
        <v>7401.4712</v>
      </c>
      <c r="D291" s="50" t="str">
        <f t="shared" si="4"/>
        <v>L46P5</v>
      </c>
    </row>
    <row r="292" spans="1:4">
      <c r="A292" s="47" t="s">
        <v>154</v>
      </c>
      <c r="B292" s="48" t="s">
        <v>193</v>
      </c>
      <c r="C292" s="49">
        <v>7282.6154999999999</v>
      </c>
      <c r="D292" s="50" t="str">
        <f t="shared" si="4"/>
        <v>L45P5</v>
      </c>
    </row>
    <row r="293" spans="1:4">
      <c r="A293" s="47" t="s">
        <v>155</v>
      </c>
      <c r="B293" s="48" t="s">
        <v>193</v>
      </c>
      <c r="C293" s="49">
        <v>7134.9512000000004</v>
      </c>
      <c r="D293" s="50" t="str">
        <f t="shared" si="4"/>
        <v>L44P5</v>
      </c>
    </row>
    <row r="294" spans="1:4">
      <c r="A294" s="47" t="s">
        <v>156</v>
      </c>
      <c r="B294" s="48" t="s">
        <v>193</v>
      </c>
      <c r="C294" s="49">
        <v>6991.1273000000001</v>
      </c>
      <c r="D294" s="50" t="str">
        <f t="shared" si="4"/>
        <v>L43P5</v>
      </c>
    </row>
    <row r="295" spans="1:4">
      <c r="A295" s="47" t="s">
        <v>20</v>
      </c>
      <c r="B295" s="48" t="s">
        <v>193</v>
      </c>
      <c r="C295" s="49">
        <v>6884.0245000000004</v>
      </c>
      <c r="D295" s="50" t="str">
        <f t="shared" si="4"/>
        <v>L42P5</v>
      </c>
    </row>
    <row r="296" spans="1:4">
      <c r="A296" s="47" t="s">
        <v>157</v>
      </c>
      <c r="B296" s="48" t="s">
        <v>193</v>
      </c>
      <c r="C296" s="49">
        <v>6841.2708000000002</v>
      </c>
      <c r="D296" s="50" t="str">
        <f t="shared" si="4"/>
        <v>L41P5</v>
      </c>
    </row>
    <row r="297" spans="1:4">
      <c r="A297" s="47" t="s">
        <v>158</v>
      </c>
      <c r="B297" s="48" t="s">
        <v>193</v>
      </c>
      <c r="C297" s="49">
        <v>6879.7314999999999</v>
      </c>
      <c r="D297" s="50" t="str">
        <f t="shared" si="4"/>
        <v>L40P5</v>
      </c>
    </row>
    <row r="298" spans="1:4">
      <c r="A298" s="47" t="s">
        <v>159</v>
      </c>
      <c r="B298" s="48" t="s">
        <v>193</v>
      </c>
      <c r="C298" s="49">
        <v>7003.1508000000003</v>
      </c>
      <c r="D298" s="50" t="str">
        <f t="shared" si="4"/>
        <v>L39P5</v>
      </c>
    </row>
    <row r="299" spans="1:4">
      <c r="A299" s="47" t="s">
        <v>19</v>
      </c>
      <c r="B299" s="48" t="s">
        <v>193</v>
      </c>
      <c r="C299" s="49">
        <v>7202.8167000000003</v>
      </c>
      <c r="D299" s="50" t="str">
        <f t="shared" si="4"/>
        <v>L38P5</v>
      </c>
    </row>
    <row r="300" spans="1:4">
      <c r="A300" s="47" t="s">
        <v>160</v>
      </c>
      <c r="B300" s="48" t="s">
        <v>193</v>
      </c>
      <c r="C300" s="49">
        <v>7461.2655000000004</v>
      </c>
      <c r="D300" s="50" t="str">
        <f t="shared" si="4"/>
        <v>L37P5</v>
      </c>
    </row>
    <row r="301" spans="1:4">
      <c r="A301" s="47" t="s">
        <v>161</v>
      </c>
      <c r="B301" s="48" t="s">
        <v>193</v>
      </c>
      <c r="C301" s="49">
        <v>7758.0308000000005</v>
      </c>
      <c r="D301" s="50" t="str">
        <f t="shared" si="4"/>
        <v>L36P5</v>
      </c>
    </row>
    <row r="302" spans="1:4">
      <c r="A302" s="47" t="s">
        <v>162</v>
      </c>
      <c r="B302" s="48" t="s">
        <v>193</v>
      </c>
      <c r="C302" s="49">
        <v>8074.1048000000001</v>
      </c>
      <c r="D302" s="50" t="str">
        <f t="shared" si="4"/>
        <v>L35P5</v>
      </c>
    </row>
    <row r="303" spans="1:4">
      <c r="A303" s="47" t="s">
        <v>18</v>
      </c>
      <c r="B303" s="48" t="s">
        <v>193</v>
      </c>
      <c r="C303" s="49">
        <v>8378.7837999999992</v>
      </c>
      <c r="D303" s="50" t="str">
        <f t="shared" si="4"/>
        <v>L34P5</v>
      </c>
    </row>
    <row r="304" spans="1:4">
      <c r="A304" s="47" t="s">
        <v>163</v>
      </c>
      <c r="B304" s="48" t="s">
        <v>193</v>
      </c>
      <c r="C304" s="49">
        <v>8591.5503000000008</v>
      </c>
      <c r="D304" s="50" t="str">
        <f t="shared" si="4"/>
        <v>L33P5</v>
      </c>
    </row>
    <row r="305" spans="1:4">
      <c r="A305" s="47" t="s">
        <v>164</v>
      </c>
      <c r="B305" s="48" t="s">
        <v>193</v>
      </c>
      <c r="C305" s="49">
        <v>8537.3433000000005</v>
      </c>
      <c r="D305" s="50" t="str">
        <f t="shared" si="4"/>
        <v>L32P5</v>
      </c>
    </row>
    <row r="306" spans="1:4">
      <c r="A306" s="47" t="s">
        <v>165</v>
      </c>
      <c r="B306" s="48" t="s">
        <v>193</v>
      </c>
      <c r="C306" s="49">
        <v>7753.1778000000004</v>
      </c>
      <c r="D306" s="50" t="str">
        <f t="shared" si="4"/>
        <v>L31P5</v>
      </c>
    </row>
    <row r="307" spans="1:4">
      <c r="A307" s="47" t="s">
        <v>17</v>
      </c>
      <c r="B307" s="48" t="s">
        <v>193</v>
      </c>
      <c r="C307" s="49">
        <v>6969.8827000000001</v>
      </c>
      <c r="D307" s="50" t="str">
        <f t="shared" si="4"/>
        <v>L30P5</v>
      </c>
    </row>
    <row r="308" spans="1:4">
      <c r="A308" s="47" t="s">
        <v>166</v>
      </c>
      <c r="B308" s="48" t="s">
        <v>193</v>
      </c>
      <c r="C308" s="49">
        <v>6745.1550999999999</v>
      </c>
      <c r="D308" s="50" t="str">
        <f t="shared" si="4"/>
        <v>L29P5</v>
      </c>
    </row>
    <row r="309" spans="1:4">
      <c r="A309" s="47" t="s">
        <v>167</v>
      </c>
      <c r="B309" s="48" t="s">
        <v>193</v>
      </c>
      <c r="C309" s="49">
        <v>6719.6759000000002</v>
      </c>
      <c r="D309" s="50" t="str">
        <f t="shared" si="4"/>
        <v>L28P5</v>
      </c>
    </row>
    <row r="310" spans="1:4">
      <c r="A310" s="47" t="s">
        <v>168</v>
      </c>
      <c r="B310" s="48" t="s">
        <v>193</v>
      </c>
      <c r="C310" s="49">
        <v>6748.8278</v>
      </c>
      <c r="D310" s="50" t="str">
        <f t="shared" si="4"/>
        <v>L27P5</v>
      </c>
    </row>
    <row r="311" spans="1:4">
      <c r="A311" s="47" t="s">
        <v>169</v>
      </c>
      <c r="B311" s="48" t="s">
        <v>193</v>
      </c>
      <c r="C311" s="49">
        <v>6777.9254000000001</v>
      </c>
      <c r="D311" s="50" t="str">
        <f t="shared" si="4"/>
        <v>L26P5</v>
      </c>
    </row>
    <row r="312" spans="1:4">
      <c r="A312" s="47" t="s">
        <v>16</v>
      </c>
      <c r="B312" s="48" t="s">
        <v>193</v>
      </c>
      <c r="C312" s="49">
        <v>6803.7384000000002</v>
      </c>
      <c r="D312" s="50" t="str">
        <f t="shared" si="4"/>
        <v>L25P5</v>
      </c>
    </row>
    <row r="313" spans="1:4">
      <c r="A313" s="47" t="s">
        <v>170</v>
      </c>
      <c r="B313" s="48" t="s">
        <v>193</v>
      </c>
      <c r="C313" s="49">
        <v>6841.8697000000002</v>
      </c>
      <c r="D313" s="50" t="str">
        <f t="shared" si="4"/>
        <v>L24P5</v>
      </c>
    </row>
    <row r="314" spans="1:4">
      <c r="A314" s="47" t="s">
        <v>171</v>
      </c>
      <c r="B314" s="48" t="s">
        <v>193</v>
      </c>
      <c r="C314" s="49">
        <v>6906.2286000000004</v>
      </c>
      <c r="D314" s="50" t="str">
        <f t="shared" si="4"/>
        <v>L23P5</v>
      </c>
    </row>
    <row r="315" spans="1:4">
      <c r="A315" s="47" t="s">
        <v>172</v>
      </c>
      <c r="B315" s="48" t="s">
        <v>193</v>
      </c>
      <c r="C315" s="49">
        <v>7004.4381000000003</v>
      </c>
      <c r="D315" s="50" t="str">
        <f t="shared" si="4"/>
        <v>L22P5</v>
      </c>
    </row>
    <row r="316" spans="1:4">
      <c r="A316" s="47" t="s">
        <v>15</v>
      </c>
      <c r="B316" s="48" t="s">
        <v>193</v>
      </c>
      <c r="C316" s="49">
        <v>7136.9826999999996</v>
      </c>
      <c r="D316" s="50" t="str">
        <f t="shared" si="4"/>
        <v>L21P5</v>
      </c>
    </row>
    <row r="317" spans="1:4">
      <c r="A317" s="47" t="s">
        <v>173</v>
      </c>
      <c r="B317" s="48" t="s">
        <v>193</v>
      </c>
      <c r="C317" s="49">
        <v>7298.5613000000003</v>
      </c>
      <c r="D317" s="50" t="str">
        <f t="shared" si="4"/>
        <v>L20P5</v>
      </c>
    </row>
    <row r="318" spans="1:4">
      <c r="A318" s="47" t="s">
        <v>174</v>
      </c>
      <c r="B318" s="48" t="s">
        <v>193</v>
      </c>
      <c r="C318" s="49">
        <v>7480.0096999999996</v>
      </c>
      <c r="D318" s="50" t="str">
        <f t="shared" si="4"/>
        <v>L19P5</v>
      </c>
    </row>
    <row r="319" spans="1:4">
      <c r="A319" s="47" t="s">
        <v>175</v>
      </c>
      <c r="B319" s="48" t="s">
        <v>193</v>
      </c>
      <c r="C319" s="49">
        <v>7670.0182999999997</v>
      </c>
      <c r="D319" s="50" t="str">
        <f t="shared" si="4"/>
        <v>L18P5</v>
      </c>
    </row>
    <row r="320" spans="1:4">
      <c r="A320" s="47" t="s">
        <v>14</v>
      </c>
      <c r="B320" s="48" t="s">
        <v>193</v>
      </c>
      <c r="C320" s="49">
        <v>7856.6134000000002</v>
      </c>
      <c r="D320" s="50" t="str">
        <f t="shared" si="4"/>
        <v>L17P5</v>
      </c>
    </row>
    <row r="321" spans="1:4">
      <c r="A321" s="47" t="s">
        <v>176</v>
      </c>
      <c r="B321" s="48" t="s">
        <v>193</v>
      </c>
      <c r="C321" s="49">
        <v>8028.7116999999998</v>
      </c>
      <c r="D321" s="50" t="str">
        <f t="shared" si="4"/>
        <v>L16P5</v>
      </c>
    </row>
    <row r="322" spans="1:4">
      <c r="A322" s="47" t="s">
        <v>177</v>
      </c>
      <c r="B322" s="48" t="s">
        <v>193</v>
      </c>
      <c r="C322" s="49">
        <v>8177.7632000000003</v>
      </c>
      <c r="D322" s="50" t="str">
        <f t="shared" si="4"/>
        <v>L15P5</v>
      </c>
    </row>
    <row r="323" spans="1:4">
      <c r="A323" s="47" t="s">
        <v>178</v>
      </c>
      <c r="B323" s="48" t="s">
        <v>193</v>
      </c>
      <c r="C323" s="49">
        <v>8299.0903999999991</v>
      </c>
      <c r="D323" s="50" t="str">
        <f t="shared" si="4"/>
        <v>L14P5</v>
      </c>
    </row>
    <row r="324" spans="1:4">
      <c r="A324" s="47" t="s">
        <v>13</v>
      </c>
      <c r="B324" s="48" t="s">
        <v>193</v>
      </c>
      <c r="C324" s="49">
        <v>8392.5959999999995</v>
      </c>
      <c r="D324" s="50" t="str">
        <f t="shared" ref="D324:D387" si="5">CONCATENATE(A324,B324)</f>
        <v>L13P5</v>
      </c>
    </row>
    <row r="325" spans="1:4">
      <c r="A325" s="47" t="s">
        <v>179</v>
      </c>
      <c r="B325" s="48" t="s">
        <v>193</v>
      </c>
      <c r="C325" s="49">
        <v>8462.4982</v>
      </c>
      <c r="D325" s="50" t="str">
        <f t="shared" si="5"/>
        <v>L12P5</v>
      </c>
    </row>
    <row r="326" spans="1:4">
      <c r="A326" s="47" t="s">
        <v>180</v>
      </c>
      <c r="B326" s="48" t="s">
        <v>193</v>
      </c>
      <c r="C326" s="49">
        <v>8515.9750999999997</v>
      </c>
      <c r="D326" s="50" t="str">
        <f t="shared" si="5"/>
        <v>L11P5</v>
      </c>
    </row>
    <row r="327" spans="1:4">
      <c r="A327" s="47" t="s">
        <v>181</v>
      </c>
      <c r="B327" s="48" t="s">
        <v>193</v>
      </c>
      <c r="C327" s="49">
        <v>8560.5249000000003</v>
      </c>
      <c r="D327" s="50" t="str">
        <f t="shared" si="5"/>
        <v>L10P5</v>
      </c>
    </row>
    <row r="328" spans="1:4">
      <c r="A328" s="47" t="s">
        <v>12</v>
      </c>
      <c r="B328" s="48" t="s">
        <v>193</v>
      </c>
      <c r="C328" s="49">
        <v>8599.8209000000006</v>
      </c>
      <c r="D328" s="50" t="str">
        <f t="shared" si="5"/>
        <v>L9P5</v>
      </c>
    </row>
    <row r="329" spans="1:4">
      <c r="A329" s="47" t="s">
        <v>182</v>
      </c>
      <c r="B329" s="48" t="s">
        <v>193</v>
      </c>
      <c r="C329" s="49">
        <v>8636.4426999999996</v>
      </c>
      <c r="D329" s="50" t="str">
        <f t="shared" si="5"/>
        <v>L8P5</v>
      </c>
    </row>
    <row r="330" spans="1:4">
      <c r="A330" s="47" t="s">
        <v>183</v>
      </c>
      <c r="B330" s="48" t="s">
        <v>193</v>
      </c>
      <c r="C330" s="49">
        <v>8669.1813000000002</v>
      </c>
      <c r="D330" s="50" t="str">
        <f t="shared" si="5"/>
        <v>L7P5</v>
      </c>
    </row>
    <row r="331" spans="1:4">
      <c r="A331" s="47" t="s">
        <v>184</v>
      </c>
      <c r="B331" s="48" t="s">
        <v>193</v>
      </c>
      <c r="C331" s="49">
        <v>8718.7255999999998</v>
      </c>
      <c r="D331" s="50" t="str">
        <f t="shared" si="5"/>
        <v>L6P5</v>
      </c>
    </row>
    <row r="332" spans="1:4">
      <c r="A332" s="47" t="s">
        <v>11</v>
      </c>
      <c r="B332" s="48" t="s">
        <v>193</v>
      </c>
      <c r="C332" s="49">
        <v>8626.9338000000007</v>
      </c>
      <c r="D332" s="50" t="str">
        <f t="shared" si="5"/>
        <v>L5P5</v>
      </c>
    </row>
    <row r="333" spans="1:4">
      <c r="A333" s="47" t="s">
        <v>185</v>
      </c>
      <c r="B333" s="48" t="s">
        <v>193</v>
      </c>
      <c r="C333" s="49">
        <v>8502.2029999999995</v>
      </c>
      <c r="D333" s="50" t="str">
        <f t="shared" si="5"/>
        <v>L4P5</v>
      </c>
    </row>
    <row r="334" spans="1:4">
      <c r="A334" s="47" t="s">
        <v>186</v>
      </c>
      <c r="B334" s="48" t="s">
        <v>193</v>
      </c>
      <c r="C334" s="49">
        <v>9126.2481000000007</v>
      </c>
      <c r="D334" s="50" t="str">
        <f t="shared" si="5"/>
        <v>L3P5</v>
      </c>
    </row>
    <row r="335" spans="1:4">
      <c r="A335" s="47" t="s">
        <v>187</v>
      </c>
      <c r="B335" s="48" t="s">
        <v>193</v>
      </c>
      <c r="C335" s="49">
        <v>9036.8225999999995</v>
      </c>
      <c r="D335" s="50" t="str">
        <f t="shared" si="5"/>
        <v>ROOF (GARDEN VILLA)P5</v>
      </c>
    </row>
    <row r="336" spans="1:4">
      <c r="A336" s="47" t="s">
        <v>188</v>
      </c>
      <c r="B336" s="48" t="s">
        <v>193</v>
      </c>
      <c r="C336" s="49">
        <v>9541.5544000000009</v>
      </c>
      <c r="D336" s="50" t="str">
        <f t="shared" si="5"/>
        <v>L2 (TOWER)P5</v>
      </c>
    </row>
    <row r="337" spans="1:4">
      <c r="A337" s="47" t="s">
        <v>189</v>
      </c>
      <c r="B337" s="48" t="s">
        <v>193</v>
      </c>
      <c r="C337" s="49">
        <v>9027.3251999999993</v>
      </c>
      <c r="D337" s="50" t="str">
        <f t="shared" si="5"/>
        <v>L2 (GARDEN VILLA)P5</v>
      </c>
    </row>
    <row r="338" spans="1:4">
      <c r="A338" s="47" t="s">
        <v>10</v>
      </c>
      <c r="B338" s="48" t="s">
        <v>193</v>
      </c>
      <c r="C338" s="49">
        <v>10190.8128</v>
      </c>
      <c r="D338" s="50" t="str">
        <f t="shared" si="5"/>
        <v>L1P5</v>
      </c>
    </row>
    <row r="339" spans="1:4">
      <c r="A339" s="47" t="s">
        <v>9</v>
      </c>
      <c r="B339" s="48" t="s">
        <v>193</v>
      </c>
      <c r="C339" s="49">
        <v>11420.98</v>
      </c>
      <c r="D339" s="50" t="str">
        <f t="shared" si="5"/>
        <v>LGP5</v>
      </c>
    </row>
    <row r="340" spans="1:4">
      <c r="A340" s="47" t="s">
        <v>8</v>
      </c>
      <c r="B340" s="48" t="s">
        <v>193</v>
      </c>
      <c r="C340" s="49">
        <v>13640.879300000001</v>
      </c>
      <c r="D340" s="50" t="str">
        <f t="shared" si="5"/>
        <v>B1P5</v>
      </c>
    </row>
    <row r="341" spans="1:4">
      <c r="A341" s="47" t="s">
        <v>23</v>
      </c>
      <c r="B341" s="48" t="s">
        <v>194</v>
      </c>
      <c r="C341" s="49">
        <v>2295.4326999999998</v>
      </c>
      <c r="D341" s="50" t="str">
        <f t="shared" si="5"/>
        <v>ROOF OVER MCRMP6</v>
      </c>
    </row>
    <row r="342" spans="1:4">
      <c r="A342" s="47" t="s">
        <v>149</v>
      </c>
      <c r="B342" s="48" t="s">
        <v>194</v>
      </c>
      <c r="C342" s="49">
        <v>13180.320400000001</v>
      </c>
      <c r="D342" s="50" t="str">
        <f t="shared" si="5"/>
        <v>MCRMP6</v>
      </c>
    </row>
    <row r="343" spans="1:4">
      <c r="A343" s="47" t="s">
        <v>150</v>
      </c>
      <c r="B343" s="48" t="s">
        <v>194</v>
      </c>
      <c r="C343" s="49">
        <v>20158.358199999999</v>
      </c>
      <c r="D343" s="50" t="str">
        <f t="shared" si="5"/>
        <v>RDP6</v>
      </c>
    </row>
    <row r="344" spans="1:4">
      <c r="A344" s="47" t="s">
        <v>22</v>
      </c>
      <c r="B344" s="48" t="s">
        <v>194</v>
      </c>
      <c r="C344" s="49">
        <v>23884.816900000002</v>
      </c>
      <c r="D344" s="50" t="str">
        <f t="shared" si="5"/>
        <v>L50P6</v>
      </c>
    </row>
    <row r="345" spans="1:4">
      <c r="A345" s="47" t="s">
        <v>151</v>
      </c>
      <c r="B345" s="48" t="s">
        <v>194</v>
      </c>
      <c r="C345" s="49">
        <v>26764.1947</v>
      </c>
      <c r="D345" s="50" t="str">
        <f t="shared" si="5"/>
        <v>L49P6</v>
      </c>
    </row>
    <row r="346" spans="1:4">
      <c r="A346" s="47" t="s">
        <v>152</v>
      </c>
      <c r="B346" s="48" t="s">
        <v>194</v>
      </c>
      <c r="C346" s="49">
        <v>28984.5111</v>
      </c>
      <c r="D346" s="50" t="str">
        <f t="shared" si="5"/>
        <v>L48P6</v>
      </c>
    </row>
    <row r="347" spans="1:4">
      <c r="A347" s="47" t="s">
        <v>153</v>
      </c>
      <c r="B347" s="48" t="s">
        <v>194</v>
      </c>
      <c r="C347" s="49">
        <v>30682.246800000001</v>
      </c>
      <c r="D347" s="50" t="str">
        <f t="shared" si="5"/>
        <v>L47P6</v>
      </c>
    </row>
    <row r="348" spans="1:4">
      <c r="A348" s="47" t="s">
        <v>21</v>
      </c>
      <c r="B348" s="48" t="s">
        <v>194</v>
      </c>
      <c r="C348" s="49">
        <v>31890.2916</v>
      </c>
      <c r="D348" s="50" t="str">
        <f t="shared" si="5"/>
        <v>L46P6</v>
      </c>
    </row>
    <row r="349" spans="1:4">
      <c r="A349" s="47" t="s">
        <v>154</v>
      </c>
      <c r="B349" s="48" t="s">
        <v>194</v>
      </c>
      <c r="C349" s="49">
        <v>32682.7775</v>
      </c>
      <c r="D349" s="50" t="str">
        <f t="shared" si="5"/>
        <v>L45P6</v>
      </c>
    </row>
    <row r="350" spans="1:4">
      <c r="A350" s="47" t="s">
        <v>155</v>
      </c>
      <c r="B350" s="48" t="s">
        <v>194</v>
      </c>
      <c r="C350" s="49">
        <v>33133.0023</v>
      </c>
      <c r="D350" s="50" t="str">
        <f t="shared" si="5"/>
        <v>L44P6</v>
      </c>
    </row>
    <row r="351" spans="1:4">
      <c r="A351" s="47" t="s">
        <v>156</v>
      </c>
      <c r="B351" s="48" t="s">
        <v>194</v>
      </c>
      <c r="C351" s="49">
        <v>33318.347000000002</v>
      </c>
      <c r="D351" s="50" t="str">
        <f t="shared" si="5"/>
        <v>L43P6</v>
      </c>
    </row>
    <row r="352" spans="1:4">
      <c r="A352" s="47" t="s">
        <v>20</v>
      </c>
      <c r="B352" s="48" t="s">
        <v>194</v>
      </c>
      <c r="C352" s="49">
        <v>33304.160199999998</v>
      </c>
      <c r="D352" s="50" t="str">
        <f t="shared" si="5"/>
        <v>L42P6</v>
      </c>
    </row>
    <row r="353" spans="1:4">
      <c r="A353" s="47" t="s">
        <v>157</v>
      </c>
      <c r="B353" s="48" t="s">
        <v>194</v>
      </c>
      <c r="C353" s="49">
        <v>33145.921699999999</v>
      </c>
      <c r="D353" s="50" t="str">
        <f t="shared" si="5"/>
        <v>L41P6</v>
      </c>
    </row>
    <row r="354" spans="1:4">
      <c r="A354" s="47" t="s">
        <v>158</v>
      </c>
      <c r="B354" s="48" t="s">
        <v>194</v>
      </c>
      <c r="C354" s="49">
        <v>32891.222199999997</v>
      </c>
      <c r="D354" s="50" t="str">
        <f t="shared" si="5"/>
        <v>L40P6</v>
      </c>
    </row>
    <row r="355" spans="1:4">
      <c r="A355" s="47" t="s">
        <v>159</v>
      </c>
      <c r="B355" s="48" t="s">
        <v>194</v>
      </c>
      <c r="C355" s="49">
        <v>32585.4421</v>
      </c>
      <c r="D355" s="50" t="str">
        <f t="shared" si="5"/>
        <v>L39P6</v>
      </c>
    </row>
    <row r="356" spans="1:4">
      <c r="A356" s="47" t="s">
        <v>19</v>
      </c>
      <c r="B356" s="48" t="s">
        <v>194</v>
      </c>
      <c r="C356" s="49">
        <v>32273.3128</v>
      </c>
      <c r="D356" s="50" t="str">
        <f t="shared" si="5"/>
        <v>L38P6</v>
      </c>
    </row>
    <row r="357" spans="1:4">
      <c r="A357" s="47" t="s">
        <v>160</v>
      </c>
      <c r="B357" s="48" t="s">
        <v>194</v>
      </c>
      <c r="C357" s="49">
        <v>31996.641500000002</v>
      </c>
      <c r="D357" s="50" t="str">
        <f t="shared" si="5"/>
        <v>L37P6</v>
      </c>
    </row>
    <row r="358" spans="1:4">
      <c r="A358" s="47" t="s">
        <v>161</v>
      </c>
      <c r="B358" s="48" t="s">
        <v>194</v>
      </c>
      <c r="C358" s="49">
        <v>31787.786199999999</v>
      </c>
      <c r="D358" s="50" t="str">
        <f t="shared" si="5"/>
        <v>L36P6</v>
      </c>
    </row>
    <row r="359" spans="1:4">
      <c r="A359" s="47" t="s">
        <v>162</v>
      </c>
      <c r="B359" s="48" t="s">
        <v>194</v>
      </c>
      <c r="C359" s="49">
        <v>31664.481299999999</v>
      </c>
      <c r="D359" s="50" t="str">
        <f t="shared" si="5"/>
        <v>L35P6</v>
      </c>
    </row>
    <row r="360" spans="1:4">
      <c r="A360" s="47" t="s">
        <v>18</v>
      </c>
      <c r="B360" s="48" t="s">
        <v>194</v>
      </c>
      <c r="C360" s="49">
        <v>31623.8259</v>
      </c>
      <c r="D360" s="50" t="str">
        <f t="shared" si="5"/>
        <v>L34P6</v>
      </c>
    </row>
    <row r="361" spans="1:4">
      <c r="A361" s="47" t="s">
        <v>163</v>
      </c>
      <c r="B361" s="48" t="s">
        <v>194</v>
      </c>
      <c r="C361" s="49">
        <v>31647.443599999999</v>
      </c>
      <c r="D361" s="50" t="str">
        <f t="shared" si="5"/>
        <v>L33P6</v>
      </c>
    </row>
    <row r="362" spans="1:4">
      <c r="A362" s="47" t="s">
        <v>164</v>
      </c>
      <c r="B362" s="48" t="s">
        <v>194</v>
      </c>
      <c r="C362" s="49">
        <v>31716.499299999999</v>
      </c>
      <c r="D362" s="50" t="str">
        <f t="shared" si="5"/>
        <v>L32P6</v>
      </c>
    </row>
    <row r="363" spans="1:4">
      <c r="A363" s="47" t="s">
        <v>165</v>
      </c>
      <c r="B363" s="48" t="s">
        <v>194</v>
      </c>
      <c r="C363" s="49">
        <v>31846.865099999999</v>
      </c>
      <c r="D363" s="50" t="str">
        <f t="shared" si="5"/>
        <v>L31P6</v>
      </c>
    </row>
    <row r="364" spans="1:4">
      <c r="A364" s="47" t="s">
        <v>17</v>
      </c>
      <c r="B364" s="48" t="s">
        <v>194</v>
      </c>
      <c r="C364" s="49">
        <v>32268.2444</v>
      </c>
      <c r="D364" s="50" t="str">
        <f t="shared" si="5"/>
        <v>L30P6</v>
      </c>
    </row>
    <row r="365" spans="1:4">
      <c r="A365" s="47" t="s">
        <v>166</v>
      </c>
      <c r="B365" s="48" t="s">
        <v>194</v>
      </c>
      <c r="C365" s="49">
        <v>32434.504700000001</v>
      </c>
      <c r="D365" s="50" t="str">
        <f t="shared" si="5"/>
        <v>L29P6</v>
      </c>
    </row>
    <row r="366" spans="1:4">
      <c r="A366" s="47" t="s">
        <v>167</v>
      </c>
      <c r="B366" s="48" t="s">
        <v>194</v>
      </c>
      <c r="C366" s="49">
        <v>32610.795399999999</v>
      </c>
      <c r="D366" s="50" t="str">
        <f t="shared" si="5"/>
        <v>L28P6</v>
      </c>
    </row>
    <row r="367" spans="1:4">
      <c r="A367" s="47" t="s">
        <v>168</v>
      </c>
      <c r="B367" s="48" t="s">
        <v>194</v>
      </c>
      <c r="C367" s="49">
        <v>32843.313300000002</v>
      </c>
      <c r="D367" s="50" t="str">
        <f t="shared" si="5"/>
        <v>L27P6</v>
      </c>
    </row>
    <row r="368" spans="1:4">
      <c r="A368" s="47" t="s">
        <v>169</v>
      </c>
      <c r="B368" s="48" t="s">
        <v>194</v>
      </c>
      <c r="C368" s="49">
        <v>33170.333299999998</v>
      </c>
      <c r="D368" s="50" t="str">
        <f t="shared" si="5"/>
        <v>L26P6</v>
      </c>
    </row>
    <row r="369" spans="1:4">
      <c r="A369" s="47" t="s">
        <v>16</v>
      </c>
      <c r="B369" s="48" t="s">
        <v>194</v>
      </c>
      <c r="C369" s="49">
        <v>33622.536500000002</v>
      </c>
      <c r="D369" s="50" t="str">
        <f t="shared" si="5"/>
        <v>L25P6</v>
      </c>
    </row>
    <row r="370" spans="1:4">
      <c r="A370" s="47" t="s">
        <v>170</v>
      </c>
      <c r="B370" s="48" t="s">
        <v>194</v>
      </c>
      <c r="C370" s="49">
        <v>34227.7621</v>
      </c>
      <c r="D370" s="50" t="str">
        <f t="shared" si="5"/>
        <v>L24P6</v>
      </c>
    </row>
    <row r="371" spans="1:4">
      <c r="A371" s="47" t="s">
        <v>171</v>
      </c>
      <c r="B371" s="48" t="s">
        <v>194</v>
      </c>
      <c r="C371" s="49">
        <v>34997.995900000002</v>
      </c>
      <c r="D371" s="50" t="str">
        <f t="shared" si="5"/>
        <v>L23P6</v>
      </c>
    </row>
    <row r="372" spans="1:4">
      <c r="A372" s="47" t="s">
        <v>172</v>
      </c>
      <c r="B372" s="48" t="s">
        <v>194</v>
      </c>
      <c r="C372" s="49">
        <v>35921.895799999998</v>
      </c>
      <c r="D372" s="50" t="str">
        <f t="shared" si="5"/>
        <v>L22P6</v>
      </c>
    </row>
    <row r="373" spans="1:4">
      <c r="A373" s="47" t="s">
        <v>15</v>
      </c>
      <c r="B373" s="48" t="s">
        <v>194</v>
      </c>
      <c r="C373" s="49">
        <v>36966.780200000001</v>
      </c>
      <c r="D373" s="50" t="str">
        <f t="shared" si="5"/>
        <v>L21P6</v>
      </c>
    </row>
    <row r="374" spans="1:4">
      <c r="A374" s="47" t="s">
        <v>173</v>
      </c>
      <c r="B374" s="48" t="s">
        <v>194</v>
      </c>
      <c r="C374" s="49">
        <v>38090.942999999999</v>
      </c>
      <c r="D374" s="50" t="str">
        <f t="shared" si="5"/>
        <v>L20P6</v>
      </c>
    </row>
    <row r="375" spans="1:4">
      <c r="A375" s="47" t="s">
        <v>174</v>
      </c>
      <c r="B375" s="48" t="s">
        <v>194</v>
      </c>
      <c r="C375" s="49">
        <v>39259.181199999999</v>
      </c>
      <c r="D375" s="50" t="str">
        <f t="shared" si="5"/>
        <v>L19P6</v>
      </c>
    </row>
    <row r="376" spans="1:4">
      <c r="A376" s="47" t="s">
        <v>175</v>
      </c>
      <c r="B376" s="48" t="s">
        <v>194</v>
      </c>
      <c r="C376" s="49">
        <v>40453.411399999997</v>
      </c>
      <c r="D376" s="50" t="str">
        <f t="shared" si="5"/>
        <v>L18P6</v>
      </c>
    </row>
    <row r="377" spans="1:4">
      <c r="A377" s="47" t="s">
        <v>14</v>
      </c>
      <c r="B377" s="48" t="s">
        <v>194</v>
      </c>
      <c r="C377" s="49">
        <v>41674.405200000001</v>
      </c>
      <c r="D377" s="50" t="str">
        <f t="shared" si="5"/>
        <v>L17P6</v>
      </c>
    </row>
    <row r="378" spans="1:4">
      <c r="A378" s="47" t="s">
        <v>176</v>
      </c>
      <c r="B378" s="48" t="s">
        <v>194</v>
      </c>
      <c r="C378" s="49">
        <v>42936.083599999998</v>
      </c>
      <c r="D378" s="50" t="str">
        <f t="shared" si="5"/>
        <v>L16P6</v>
      </c>
    </row>
    <row r="379" spans="1:4">
      <c r="A379" s="47" t="s">
        <v>177</v>
      </c>
      <c r="B379" s="48" t="s">
        <v>194</v>
      </c>
      <c r="C379" s="49">
        <v>44257.852200000001</v>
      </c>
      <c r="D379" s="50" t="str">
        <f t="shared" si="5"/>
        <v>L15P6</v>
      </c>
    </row>
    <row r="380" spans="1:4">
      <c r="A380" s="47" t="s">
        <v>178</v>
      </c>
      <c r="B380" s="48" t="s">
        <v>194</v>
      </c>
      <c r="C380" s="49">
        <v>45658.890700000004</v>
      </c>
      <c r="D380" s="50" t="str">
        <f t="shared" si="5"/>
        <v>L14P6</v>
      </c>
    </row>
    <row r="381" spans="1:4">
      <c r="A381" s="47" t="s">
        <v>13</v>
      </c>
      <c r="B381" s="48" t="s">
        <v>194</v>
      </c>
      <c r="C381" s="49">
        <v>47156.797500000001</v>
      </c>
      <c r="D381" s="50" t="str">
        <f t="shared" si="5"/>
        <v>L13P6</v>
      </c>
    </row>
    <row r="382" spans="1:4">
      <c r="A382" s="47" t="s">
        <v>179</v>
      </c>
      <c r="B382" s="48" t="s">
        <v>194</v>
      </c>
      <c r="C382" s="49">
        <v>48765.172299999998</v>
      </c>
      <c r="D382" s="50" t="str">
        <f t="shared" si="5"/>
        <v>L12P6</v>
      </c>
    </row>
    <row r="383" spans="1:4">
      <c r="A383" s="47" t="s">
        <v>180</v>
      </c>
      <c r="B383" s="48" t="s">
        <v>194</v>
      </c>
      <c r="C383" s="49">
        <v>50495.995699999999</v>
      </c>
      <c r="D383" s="50" t="str">
        <f t="shared" si="5"/>
        <v>L11P6</v>
      </c>
    </row>
    <row r="384" spans="1:4">
      <c r="A384" s="47" t="s">
        <v>181</v>
      </c>
      <c r="B384" s="48" t="s">
        <v>194</v>
      </c>
      <c r="C384" s="49">
        <v>52350.690600000002</v>
      </c>
      <c r="D384" s="50" t="str">
        <f t="shared" si="5"/>
        <v>L10P6</v>
      </c>
    </row>
    <row r="385" spans="1:4">
      <c r="A385" s="47" t="s">
        <v>12</v>
      </c>
      <c r="B385" s="48" t="s">
        <v>194</v>
      </c>
      <c r="C385" s="49">
        <v>54345.094899999996</v>
      </c>
      <c r="D385" s="50" t="str">
        <f t="shared" si="5"/>
        <v>L9P6</v>
      </c>
    </row>
    <row r="386" spans="1:4">
      <c r="A386" s="47" t="s">
        <v>182</v>
      </c>
      <c r="B386" s="48" t="s">
        <v>194</v>
      </c>
      <c r="C386" s="49">
        <v>56469.602299999999</v>
      </c>
      <c r="D386" s="50" t="str">
        <f t="shared" si="5"/>
        <v>L8P6</v>
      </c>
    </row>
    <row r="387" spans="1:4">
      <c r="A387" s="47" t="s">
        <v>183</v>
      </c>
      <c r="B387" s="48" t="s">
        <v>194</v>
      </c>
      <c r="C387" s="49">
        <v>58841.8946</v>
      </c>
      <c r="D387" s="50" t="str">
        <f t="shared" si="5"/>
        <v>L7P6</v>
      </c>
    </row>
    <row r="388" spans="1:4">
      <c r="A388" s="47" t="s">
        <v>184</v>
      </c>
      <c r="B388" s="48" t="s">
        <v>194</v>
      </c>
      <c r="C388" s="49">
        <v>61512.386200000001</v>
      </c>
      <c r="D388" s="50" t="str">
        <f t="shared" ref="D388:D451" si="6">CONCATENATE(A388,B388)</f>
        <v>L6P6</v>
      </c>
    </row>
    <row r="389" spans="1:4">
      <c r="A389" s="47" t="s">
        <v>11</v>
      </c>
      <c r="B389" s="48" t="s">
        <v>194</v>
      </c>
      <c r="C389" s="49">
        <v>64658.179900000003</v>
      </c>
      <c r="D389" s="50" t="str">
        <f t="shared" si="6"/>
        <v>L5P6</v>
      </c>
    </row>
    <row r="390" spans="1:4">
      <c r="A390" s="47" t="s">
        <v>185</v>
      </c>
      <c r="B390" s="48" t="s">
        <v>194</v>
      </c>
      <c r="C390" s="49">
        <v>68077.328099999999</v>
      </c>
      <c r="D390" s="50" t="str">
        <f t="shared" si="6"/>
        <v>L4P6</v>
      </c>
    </row>
    <row r="391" spans="1:4">
      <c r="A391" s="47" t="s">
        <v>186</v>
      </c>
      <c r="B391" s="48" t="s">
        <v>194</v>
      </c>
      <c r="C391" s="49">
        <v>70245.667300000001</v>
      </c>
      <c r="D391" s="50" t="str">
        <f t="shared" si="6"/>
        <v>L3P6</v>
      </c>
    </row>
    <row r="392" spans="1:4">
      <c r="A392" s="47" t="s">
        <v>187</v>
      </c>
      <c r="B392" s="48" t="s">
        <v>194</v>
      </c>
      <c r="C392" s="49">
        <v>70748.267900000006</v>
      </c>
      <c r="D392" s="50" t="str">
        <f t="shared" si="6"/>
        <v>ROOF (GARDEN VILLA)P6</v>
      </c>
    </row>
    <row r="393" spans="1:4">
      <c r="A393" s="47" t="s">
        <v>188</v>
      </c>
      <c r="B393" s="48" t="s">
        <v>194</v>
      </c>
      <c r="C393" s="49">
        <v>74423.948399999994</v>
      </c>
      <c r="D393" s="50" t="str">
        <f t="shared" si="6"/>
        <v>L2 (TOWER)P6</v>
      </c>
    </row>
    <row r="394" spans="1:4">
      <c r="A394" s="47" t="s">
        <v>189</v>
      </c>
      <c r="B394" s="48" t="s">
        <v>194</v>
      </c>
      <c r="C394" s="49">
        <v>75749.155599999998</v>
      </c>
      <c r="D394" s="50" t="str">
        <f t="shared" si="6"/>
        <v>L2 (GARDEN VILLA)P6</v>
      </c>
    </row>
    <row r="395" spans="1:4">
      <c r="A395" s="47" t="s">
        <v>10</v>
      </c>
      <c r="B395" s="48" t="s">
        <v>194</v>
      </c>
      <c r="C395" s="49">
        <v>78848.487500000003</v>
      </c>
      <c r="D395" s="50" t="str">
        <f t="shared" si="6"/>
        <v>L1P6</v>
      </c>
    </row>
    <row r="396" spans="1:4">
      <c r="A396" s="47" t="s">
        <v>9</v>
      </c>
      <c r="B396" s="48" t="s">
        <v>194</v>
      </c>
      <c r="C396" s="49">
        <v>80237.675099999993</v>
      </c>
      <c r="D396" s="50" t="str">
        <f t="shared" si="6"/>
        <v>LGP6</v>
      </c>
    </row>
    <row r="397" spans="1:4">
      <c r="A397" s="47" t="s">
        <v>8</v>
      </c>
      <c r="B397" s="48" t="s">
        <v>194</v>
      </c>
      <c r="C397" s="49">
        <v>80375.494900000005</v>
      </c>
      <c r="D397" s="50" t="str">
        <f t="shared" si="6"/>
        <v>B1P6</v>
      </c>
    </row>
    <row r="398" spans="1:4">
      <c r="A398" s="47" t="s">
        <v>23</v>
      </c>
      <c r="B398" s="48" t="s">
        <v>195</v>
      </c>
      <c r="C398" s="49">
        <v>1082.8919000000001</v>
      </c>
      <c r="D398" s="50" t="str">
        <f t="shared" si="6"/>
        <v>ROOF OVER MCRMP7</v>
      </c>
    </row>
    <row r="399" spans="1:4">
      <c r="A399" s="47" t="s">
        <v>149</v>
      </c>
      <c r="B399" s="48" t="s">
        <v>195</v>
      </c>
      <c r="C399" s="49">
        <v>6399.6388999999999</v>
      </c>
      <c r="D399" s="50" t="str">
        <f t="shared" si="6"/>
        <v>MCRMP7</v>
      </c>
    </row>
    <row r="400" spans="1:4">
      <c r="A400" s="47" t="s">
        <v>150</v>
      </c>
      <c r="B400" s="48" t="s">
        <v>195</v>
      </c>
      <c r="C400" s="49">
        <v>7244.7344000000003</v>
      </c>
      <c r="D400" s="50" t="str">
        <f t="shared" si="6"/>
        <v>RDP7</v>
      </c>
    </row>
    <row r="401" spans="1:4">
      <c r="A401" s="47" t="s">
        <v>22</v>
      </c>
      <c r="B401" s="48" t="s">
        <v>195</v>
      </c>
      <c r="C401" s="49">
        <v>8183.5252</v>
      </c>
      <c r="D401" s="50" t="str">
        <f t="shared" si="6"/>
        <v>L50P7</v>
      </c>
    </row>
    <row r="402" spans="1:4">
      <c r="A402" s="47" t="s">
        <v>151</v>
      </c>
      <c r="B402" s="48" t="s">
        <v>195</v>
      </c>
      <c r="C402" s="49">
        <v>8816.0511000000006</v>
      </c>
      <c r="D402" s="50" t="str">
        <f t="shared" si="6"/>
        <v>L49P7</v>
      </c>
    </row>
    <row r="403" spans="1:4">
      <c r="A403" s="47" t="s">
        <v>152</v>
      </c>
      <c r="B403" s="48" t="s">
        <v>195</v>
      </c>
      <c r="C403" s="49">
        <v>9116.9505000000008</v>
      </c>
      <c r="D403" s="50" t="str">
        <f t="shared" si="6"/>
        <v>L48P7</v>
      </c>
    </row>
    <row r="404" spans="1:4">
      <c r="A404" s="47" t="s">
        <v>153</v>
      </c>
      <c r="B404" s="48" t="s">
        <v>195</v>
      </c>
      <c r="C404" s="49">
        <v>9245.9891000000007</v>
      </c>
      <c r="D404" s="50" t="str">
        <f t="shared" si="6"/>
        <v>L47P7</v>
      </c>
    </row>
    <row r="405" spans="1:4">
      <c r="A405" s="47" t="s">
        <v>21</v>
      </c>
      <c r="B405" s="48" t="s">
        <v>195</v>
      </c>
      <c r="C405" s="49">
        <v>9301.1803</v>
      </c>
      <c r="D405" s="50" t="str">
        <f t="shared" si="6"/>
        <v>L46P7</v>
      </c>
    </row>
    <row r="406" spans="1:4">
      <c r="A406" s="47" t="s">
        <v>154</v>
      </c>
      <c r="B406" s="48" t="s">
        <v>195</v>
      </c>
      <c r="C406" s="49">
        <v>9298.0941999999995</v>
      </c>
      <c r="D406" s="50" t="str">
        <f t="shared" si="6"/>
        <v>L45P7</v>
      </c>
    </row>
    <row r="407" spans="1:4">
      <c r="A407" s="47" t="s">
        <v>155</v>
      </c>
      <c r="B407" s="48" t="s">
        <v>195</v>
      </c>
      <c r="C407" s="49">
        <v>9265.1509999999998</v>
      </c>
      <c r="D407" s="50" t="str">
        <f t="shared" si="6"/>
        <v>L44P7</v>
      </c>
    </row>
    <row r="408" spans="1:4">
      <c r="A408" s="47" t="s">
        <v>156</v>
      </c>
      <c r="B408" s="48" t="s">
        <v>195</v>
      </c>
      <c r="C408" s="49">
        <v>9222.3083999999999</v>
      </c>
      <c r="D408" s="50" t="str">
        <f t="shared" si="6"/>
        <v>L43P7</v>
      </c>
    </row>
    <row r="409" spans="1:4">
      <c r="A409" s="47" t="s">
        <v>20</v>
      </c>
      <c r="B409" s="48" t="s">
        <v>195</v>
      </c>
      <c r="C409" s="49">
        <v>9189.9752000000008</v>
      </c>
      <c r="D409" s="50" t="str">
        <f t="shared" si="6"/>
        <v>L42P7</v>
      </c>
    </row>
    <row r="410" spans="1:4">
      <c r="A410" s="47" t="s">
        <v>157</v>
      </c>
      <c r="B410" s="48" t="s">
        <v>195</v>
      </c>
      <c r="C410" s="49">
        <v>9184.1581999999999</v>
      </c>
      <c r="D410" s="50" t="str">
        <f t="shared" si="6"/>
        <v>L41P7</v>
      </c>
    </row>
    <row r="411" spans="1:4">
      <c r="A411" s="47" t="s">
        <v>158</v>
      </c>
      <c r="B411" s="48" t="s">
        <v>195</v>
      </c>
      <c r="C411" s="49">
        <v>9213.3485000000001</v>
      </c>
      <c r="D411" s="50" t="str">
        <f t="shared" si="6"/>
        <v>L40P7</v>
      </c>
    </row>
    <row r="412" spans="1:4">
      <c r="A412" s="47" t="s">
        <v>159</v>
      </c>
      <c r="B412" s="48" t="s">
        <v>195</v>
      </c>
      <c r="C412" s="49">
        <v>9276.8412000000008</v>
      </c>
      <c r="D412" s="50" t="str">
        <f t="shared" si="6"/>
        <v>L39P7</v>
      </c>
    </row>
    <row r="413" spans="1:4">
      <c r="A413" s="47" t="s">
        <v>19</v>
      </c>
      <c r="B413" s="48" t="s">
        <v>195</v>
      </c>
      <c r="C413" s="49">
        <v>9370.5776000000005</v>
      </c>
      <c r="D413" s="50" t="str">
        <f t="shared" si="6"/>
        <v>L38P7</v>
      </c>
    </row>
    <row r="414" spans="1:4">
      <c r="A414" s="47" t="s">
        <v>160</v>
      </c>
      <c r="B414" s="48" t="s">
        <v>195</v>
      </c>
      <c r="C414" s="49">
        <v>9494.6949000000004</v>
      </c>
      <c r="D414" s="50" t="str">
        <f t="shared" si="6"/>
        <v>L37P7</v>
      </c>
    </row>
    <row r="415" spans="1:4">
      <c r="A415" s="47" t="s">
        <v>161</v>
      </c>
      <c r="B415" s="48" t="s">
        <v>195</v>
      </c>
      <c r="C415" s="49">
        <v>9656.1205000000009</v>
      </c>
      <c r="D415" s="50" t="str">
        <f t="shared" si="6"/>
        <v>L36P7</v>
      </c>
    </row>
    <row r="416" spans="1:4">
      <c r="A416" s="47" t="s">
        <v>162</v>
      </c>
      <c r="B416" s="48" t="s">
        <v>195</v>
      </c>
      <c r="C416" s="49">
        <v>9863.3281999999999</v>
      </c>
      <c r="D416" s="50" t="str">
        <f t="shared" si="6"/>
        <v>L35P7</v>
      </c>
    </row>
    <row r="417" spans="1:4">
      <c r="A417" s="47" t="s">
        <v>18</v>
      </c>
      <c r="B417" s="48" t="s">
        <v>195</v>
      </c>
      <c r="C417" s="49">
        <v>10113.404699999999</v>
      </c>
      <c r="D417" s="50" t="str">
        <f t="shared" si="6"/>
        <v>L34P7</v>
      </c>
    </row>
    <row r="418" spans="1:4">
      <c r="A418" s="47" t="s">
        <v>163</v>
      </c>
      <c r="B418" s="48" t="s">
        <v>195</v>
      </c>
      <c r="C418" s="49">
        <v>10347.691699999999</v>
      </c>
      <c r="D418" s="50" t="str">
        <f t="shared" si="6"/>
        <v>L33P7</v>
      </c>
    </row>
    <row r="419" spans="1:4">
      <c r="A419" s="47" t="s">
        <v>164</v>
      </c>
      <c r="B419" s="48" t="s">
        <v>195</v>
      </c>
      <c r="C419" s="49">
        <v>10434.1574</v>
      </c>
      <c r="D419" s="50" t="str">
        <f t="shared" si="6"/>
        <v>L32P7</v>
      </c>
    </row>
    <row r="420" spans="1:4">
      <c r="A420" s="47" t="s">
        <v>165</v>
      </c>
      <c r="B420" s="48" t="s">
        <v>195</v>
      </c>
      <c r="C420" s="49">
        <v>9852.6908999999996</v>
      </c>
      <c r="D420" s="50" t="str">
        <f t="shared" si="6"/>
        <v>L31P7</v>
      </c>
    </row>
    <row r="421" spans="1:4">
      <c r="A421" s="47" t="s">
        <v>17</v>
      </c>
      <c r="B421" s="48" t="s">
        <v>195</v>
      </c>
      <c r="C421" s="49">
        <v>9266.5116999999991</v>
      </c>
      <c r="D421" s="50" t="str">
        <f t="shared" si="6"/>
        <v>L30P7</v>
      </c>
    </row>
    <row r="422" spans="1:4">
      <c r="A422" s="47" t="s">
        <v>166</v>
      </c>
      <c r="B422" s="48" t="s">
        <v>195</v>
      </c>
      <c r="C422" s="49">
        <v>9213.8291000000008</v>
      </c>
      <c r="D422" s="50" t="str">
        <f t="shared" si="6"/>
        <v>L29P7</v>
      </c>
    </row>
    <row r="423" spans="1:4">
      <c r="A423" s="47" t="s">
        <v>167</v>
      </c>
      <c r="B423" s="48" t="s">
        <v>195</v>
      </c>
      <c r="C423" s="49">
        <v>9258.0282000000007</v>
      </c>
      <c r="D423" s="50" t="str">
        <f t="shared" si="6"/>
        <v>L28P7</v>
      </c>
    </row>
    <row r="424" spans="1:4">
      <c r="A424" s="47" t="s">
        <v>168</v>
      </c>
      <c r="B424" s="48" t="s">
        <v>195</v>
      </c>
      <c r="C424" s="49">
        <v>9321.8174999999992</v>
      </c>
      <c r="D424" s="50" t="str">
        <f t="shared" si="6"/>
        <v>L27P7</v>
      </c>
    </row>
    <row r="425" spans="1:4">
      <c r="A425" s="47" t="s">
        <v>169</v>
      </c>
      <c r="B425" s="48" t="s">
        <v>195</v>
      </c>
      <c r="C425" s="49">
        <v>9353.0301999999992</v>
      </c>
      <c r="D425" s="50" t="str">
        <f t="shared" si="6"/>
        <v>L26P7</v>
      </c>
    </row>
    <row r="426" spans="1:4">
      <c r="A426" s="47" t="s">
        <v>16</v>
      </c>
      <c r="B426" s="48" t="s">
        <v>195</v>
      </c>
      <c r="C426" s="49">
        <v>9364.4863999999998</v>
      </c>
      <c r="D426" s="50" t="str">
        <f t="shared" si="6"/>
        <v>L25P7</v>
      </c>
    </row>
    <row r="427" spans="1:4">
      <c r="A427" s="47" t="s">
        <v>170</v>
      </c>
      <c r="B427" s="48" t="s">
        <v>195</v>
      </c>
      <c r="C427" s="49">
        <v>9380.3269999999993</v>
      </c>
      <c r="D427" s="50" t="str">
        <f t="shared" si="6"/>
        <v>L24P7</v>
      </c>
    </row>
    <row r="428" spans="1:4">
      <c r="A428" s="47" t="s">
        <v>171</v>
      </c>
      <c r="B428" s="48" t="s">
        <v>195</v>
      </c>
      <c r="C428" s="49">
        <v>9424.6191999999992</v>
      </c>
      <c r="D428" s="50" t="str">
        <f t="shared" si="6"/>
        <v>L23P7</v>
      </c>
    </row>
    <row r="429" spans="1:4">
      <c r="A429" s="47" t="s">
        <v>172</v>
      </c>
      <c r="B429" s="48" t="s">
        <v>195</v>
      </c>
      <c r="C429" s="49">
        <v>9513.1070999999993</v>
      </c>
      <c r="D429" s="50" t="str">
        <f t="shared" si="6"/>
        <v>L22P7</v>
      </c>
    </row>
    <row r="430" spans="1:4">
      <c r="A430" s="47" t="s">
        <v>15</v>
      </c>
      <c r="B430" s="48" t="s">
        <v>195</v>
      </c>
      <c r="C430" s="49">
        <v>9652.3870000000006</v>
      </c>
      <c r="D430" s="50" t="str">
        <f t="shared" si="6"/>
        <v>L21P7</v>
      </c>
    </row>
    <row r="431" spans="1:4">
      <c r="A431" s="47" t="s">
        <v>173</v>
      </c>
      <c r="B431" s="48" t="s">
        <v>195</v>
      </c>
      <c r="C431" s="49">
        <v>9841.1772999999994</v>
      </c>
      <c r="D431" s="50" t="str">
        <f t="shared" si="6"/>
        <v>L20P7</v>
      </c>
    </row>
    <row r="432" spans="1:4">
      <c r="A432" s="47" t="s">
        <v>174</v>
      </c>
      <c r="B432" s="48" t="s">
        <v>195</v>
      </c>
      <c r="C432" s="49">
        <v>10072.305899999999</v>
      </c>
      <c r="D432" s="50" t="str">
        <f t="shared" si="6"/>
        <v>L19P7</v>
      </c>
    </row>
    <row r="433" spans="1:4">
      <c r="A433" s="47" t="s">
        <v>175</v>
      </c>
      <c r="B433" s="48" t="s">
        <v>195</v>
      </c>
      <c r="C433" s="49">
        <v>10334.695100000001</v>
      </c>
      <c r="D433" s="50" t="str">
        <f t="shared" si="6"/>
        <v>L18P7</v>
      </c>
    </row>
    <row r="434" spans="1:4">
      <c r="A434" s="47" t="s">
        <v>14</v>
      </c>
      <c r="B434" s="48" t="s">
        <v>195</v>
      </c>
      <c r="C434" s="49">
        <v>10615.4568</v>
      </c>
      <c r="D434" s="50" t="str">
        <f t="shared" si="6"/>
        <v>L17P7</v>
      </c>
    </row>
    <row r="435" spans="1:4">
      <c r="A435" s="47" t="s">
        <v>176</v>
      </c>
      <c r="B435" s="48" t="s">
        <v>195</v>
      </c>
      <c r="C435" s="49">
        <v>10901.85</v>
      </c>
      <c r="D435" s="50" t="str">
        <f t="shared" si="6"/>
        <v>L16P7</v>
      </c>
    </row>
    <row r="436" spans="1:4">
      <c r="A436" s="47" t="s">
        <v>177</v>
      </c>
      <c r="B436" s="48" t="s">
        <v>195</v>
      </c>
      <c r="C436" s="49">
        <v>11182.871499999999</v>
      </c>
      <c r="D436" s="50" t="str">
        <f t="shared" si="6"/>
        <v>L15P7</v>
      </c>
    </row>
    <row r="437" spans="1:4">
      <c r="A437" s="47" t="s">
        <v>178</v>
      </c>
      <c r="B437" s="48" t="s">
        <v>195</v>
      </c>
      <c r="C437" s="49">
        <v>11450.4329</v>
      </c>
      <c r="D437" s="50" t="str">
        <f t="shared" si="6"/>
        <v>L14P7</v>
      </c>
    </row>
    <row r="438" spans="1:4">
      <c r="A438" s="47" t="s">
        <v>13</v>
      </c>
      <c r="B438" s="48" t="s">
        <v>195</v>
      </c>
      <c r="C438" s="49">
        <v>11700.250099999999</v>
      </c>
      <c r="D438" s="50" t="str">
        <f t="shared" si="6"/>
        <v>L13P7</v>
      </c>
    </row>
    <row r="439" spans="1:4">
      <c r="A439" s="47" t="s">
        <v>179</v>
      </c>
      <c r="B439" s="48" t="s">
        <v>195</v>
      </c>
      <c r="C439" s="49">
        <v>11932.0677</v>
      </c>
      <c r="D439" s="50" t="str">
        <f t="shared" si="6"/>
        <v>L12P7</v>
      </c>
    </row>
    <row r="440" spans="1:4">
      <c r="A440" s="47" t="s">
        <v>180</v>
      </c>
      <c r="B440" s="48" t="s">
        <v>195</v>
      </c>
      <c r="C440" s="49">
        <v>12149.5499</v>
      </c>
      <c r="D440" s="50" t="str">
        <f t="shared" si="6"/>
        <v>L11P7</v>
      </c>
    </row>
    <row r="441" spans="1:4">
      <c r="A441" s="47" t="s">
        <v>181</v>
      </c>
      <c r="B441" s="48" t="s">
        <v>195</v>
      </c>
      <c r="C441" s="49">
        <v>12357.4928</v>
      </c>
      <c r="D441" s="50" t="str">
        <f t="shared" si="6"/>
        <v>L10P7</v>
      </c>
    </row>
    <row r="442" spans="1:4">
      <c r="A442" s="47" t="s">
        <v>12</v>
      </c>
      <c r="B442" s="48" t="s">
        <v>195</v>
      </c>
      <c r="C442" s="49">
        <v>12564.7613</v>
      </c>
      <c r="D442" s="50" t="str">
        <f t="shared" si="6"/>
        <v>L9P7</v>
      </c>
    </row>
    <row r="443" spans="1:4">
      <c r="A443" s="47" t="s">
        <v>182</v>
      </c>
      <c r="B443" s="48" t="s">
        <v>195</v>
      </c>
      <c r="C443" s="49">
        <v>12771.6283</v>
      </c>
      <c r="D443" s="50" t="str">
        <f t="shared" si="6"/>
        <v>L8P7</v>
      </c>
    </row>
    <row r="444" spans="1:4">
      <c r="A444" s="47" t="s">
        <v>183</v>
      </c>
      <c r="B444" s="48" t="s">
        <v>195</v>
      </c>
      <c r="C444" s="49">
        <v>13028.371800000001</v>
      </c>
      <c r="D444" s="50" t="str">
        <f t="shared" si="6"/>
        <v>L7P7</v>
      </c>
    </row>
    <row r="445" spans="1:4">
      <c r="A445" s="47" t="s">
        <v>184</v>
      </c>
      <c r="B445" s="48" t="s">
        <v>195</v>
      </c>
      <c r="C445" s="49">
        <v>13288.7271</v>
      </c>
      <c r="D445" s="50" t="str">
        <f t="shared" si="6"/>
        <v>L6P7</v>
      </c>
    </row>
    <row r="446" spans="1:4">
      <c r="A446" s="47" t="s">
        <v>11</v>
      </c>
      <c r="B446" s="48" t="s">
        <v>195</v>
      </c>
      <c r="C446" s="49">
        <v>13978.0785</v>
      </c>
      <c r="D446" s="50" t="str">
        <f t="shared" si="6"/>
        <v>L5P7</v>
      </c>
    </row>
    <row r="447" spans="1:4">
      <c r="A447" s="47" t="s">
        <v>185</v>
      </c>
      <c r="B447" s="48" t="s">
        <v>195</v>
      </c>
      <c r="C447" s="49">
        <v>13496.680399999999</v>
      </c>
      <c r="D447" s="50" t="str">
        <f t="shared" si="6"/>
        <v>L4P7</v>
      </c>
    </row>
    <row r="448" spans="1:4">
      <c r="A448" s="47" t="s">
        <v>186</v>
      </c>
      <c r="B448" s="48" t="s">
        <v>195</v>
      </c>
      <c r="C448" s="49">
        <v>10725.527400000001</v>
      </c>
      <c r="D448" s="50" t="str">
        <f t="shared" si="6"/>
        <v>L3P7</v>
      </c>
    </row>
    <row r="449" spans="1:4">
      <c r="A449" s="47" t="s">
        <v>187</v>
      </c>
      <c r="B449" s="48" t="s">
        <v>195</v>
      </c>
      <c r="C449" s="49">
        <v>12490.978999999999</v>
      </c>
      <c r="D449" s="50" t="str">
        <f t="shared" si="6"/>
        <v>ROOF (GARDEN VILLA)P7</v>
      </c>
    </row>
    <row r="450" spans="1:4">
      <c r="A450" s="47" t="s">
        <v>188</v>
      </c>
      <c r="B450" s="48" t="s">
        <v>195</v>
      </c>
      <c r="C450" s="49">
        <v>9245.7368000000006</v>
      </c>
      <c r="D450" s="50" t="str">
        <f t="shared" si="6"/>
        <v>L2 (TOWER)P7</v>
      </c>
    </row>
    <row r="451" spans="1:4">
      <c r="A451" s="47" t="s">
        <v>189</v>
      </c>
      <c r="B451" s="48" t="s">
        <v>195</v>
      </c>
      <c r="C451" s="49">
        <v>8610.7713999999996</v>
      </c>
      <c r="D451" s="50" t="str">
        <f t="shared" si="6"/>
        <v>L2 (GARDEN VILLA)P7</v>
      </c>
    </row>
    <row r="452" spans="1:4">
      <c r="A452" s="47" t="s">
        <v>10</v>
      </c>
      <c r="B452" s="48" t="s">
        <v>195</v>
      </c>
      <c r="C452" s="49">
        <v>9501.1023000000005</v>
      </c>
      <c r="D452" s="50" t="str">
        <f t="shared" ref="D452:D515" si="7">CONCATENATE(A452,B452)</f>
        <v>L1P7</v>
      </c>
    </row>
    <row r="453" spans="1:4">
      <c r="A453" s="47" t="s">
        <v>9</v>
      </c>
      <c r="B453" s="48" t="s">
        <v>195</v>
      </c>
      <c r="C453" s="49">
        <v>10865.1648</v>
      </c>
      <c r="D453" s="50" t="str">
        <f t="shared" si="7"/>
        <v>LGP7</v>
      </c>
    </row>
    <row r="454" spans="1:4">
      <c r="A454" s="47" t="s">
        <v>8</v>
      </c>
      <c r="B454" s="48" t="s">
        <v>195</v>
      </c>
      <c r="C454" s="49">
        <v>13586.7531</v>
      </c>
      <c r="D454" s="50" t="str">
        <f t="shared" si="7"/>
        <v>B1P7</v>
      </c>
    </row>
    <row r="455" spans="1:4">
      <c r="A455" s="47" t="s">
        <v>23</v>
      </c>
      <c r="B455" s="48" t="s">
        <v>196</v>
      </c>
      <c r="C455" s="49">
        <v>1349.4380000000001</v>
      </c>
      <c r="D455" s="50" t="str">
        <f t="shared" si="7"/>
        <v>ROOF OVER MCRMP8</v>
      </c>
    </row>
    <row r="456" spans="1:4">
      <c r="A456" s="47" t="s">
        <v>149</v>
      </c>
      <c r="B456" s="48" t="s">
        <v>196</v>
      </c>
      <c r="C456" s="49">
        <v>5789.5591000000004</v>
      </c>
      <c r="D456" s="50" t="str">
        <f t="shared" si="7"/>
        <v>MCRMP8</v>
      </c>
    </row>
    <row r="457" spans="1:4">
      <c r="A457" s="47" t="s">
        <v>150</v>
      </c>
      <c r="B457" s="48" t="s">
        <v>196</v>
      </c>
      <c r="C457" s="49">
        <v>5802.8644000000004</v>
      </c>
      <c r="D457" s="50" t="str">
        <f t="shared" si="7"/>
        <v>RDP8</v>
      </c>
    </row>
    <row r="458" spans="1:4">
      <c r="A458" s="47" t="s">
        <v>22</v>
      </c>
      <c r="B458" s="48" t="s">
        <v>196</v>
      </c>
      <c r="C458" s="49">
        <v>6354.5367999999999</v>
      </c>
      <c r="D458" s="50" t="str">
        <f t="shared" si="7"/>
        <v>L50P8</v>
      </c>
    </row>
    <row r="459" spans="1:4">
      <c r="A459" s="47" t="s">
        <v>151</v>
      </c>
      <c r="B459" s="48" t="s">
        <v>196</v>
      </c>
      <c r="C459" s="49">
        <v>6919.2909</v>
      </c>
      <c r="D459" s="50" t="str">
        <f t="shared" si="7"/>
        <v>L49P8</v>
      </c>
    </row>
    <row r="460" spans="1:4">
      <c r="A460" s="47" t="s">
        <v>152</v>
      </c>
      <c r="B460" s="48" t="s">
        <v>196</v>
      </c>
      <c r="C460" s="49">
        <v>7191.2161999999998</v>
      </c>
      <c r="D460" s="50" t="str">
        <f t="shared" si="7"/>
        <v>L48P8</v>
      </c>
    </row>
    <row r="461" spans="1:4">
      <c r="A461" s="47" t="s">
        <v>153</v>
      </c>
      <c r="B461" s="48" t="s">
        <v>196</v>
      </c>
      <c r="C461" s="49">
        <v>7301.5402999999997</v>
      </c>
      <c r="D461" s="50" t="str">
        <f t="shared" si="7"/>
        <v>L47P8</v>
      </c>
    </row>
    <row r="462" spans="1:4">
      <c r="A462" s="47" t="s">
        <v>21</v>
      </c>
      <c r="B462" s="48" t="s">
        <v>196</v>
      </c>
      <c r="C462" s="49">
        <v>7331.7637999999997</v>
      </c>
      <c r="D462" s="50" t="str">
        <f t="shared" si="7"/>
        <v>L46P8</v>
      </c>
    </row>
    <row r="463" spans="1:4">
      <c r="A463" s="47" t="s">
        <v>154</v>
      </c>
      <c r="B463" s="48" t="s">
        <v>196</v>
      </c>
      <c r="C463" s="49">
        <v>7325.9260000000004</v>
      </c>
      <c r="D463" s="50" t="str">
        <f t="shared" si="7"/>
        <v>L45P8</v>
      </c>
    </row>
    <row r="464" spans="1:4">
      <c r="A464" s="47" t="s">
        <v>155</v>
      </c>
      <c r="B464" s="48" t="s">
        <v>196</v>
      </c>
      <c r="C464" s="49">
        <v>7301.4575999999997</v>
      </c>
      <c r="D464" s="50" t="str">
        <f t="shared" si="7"/>
        <v>L44P8</v>
      </c>
    </row>
    <row r="465" spans="1:4">
      <c r="A465" s="47" t="s">
        <v>156</v>
      </c>
      <c r="B465" s="48" t="s">
        <v>196</v>
      </c>
      <c r="C465" s="49">
        <v>7270.5154000000002</v>
      </c>
      <c r="D465" s="50" t="str">
        <f t="shared" si="7"/>
        <v>L43P8</v>
      </c>
    </row>
    <row r="466" spans="1:4">
      <c r="A466" s="47" t="s">
        <v>20</v>
      </c>
      <c r="B466" s="48" t="s">
        <v>196</v>
      </c>
      <c r="C466" s="49">
        <v>7244.1876000000002</v>
      </c>
      <c r="D466" s="50" t="str">
        <f t="shared" si="7"/>
        <v>L42P8</v>
      </c>
    </row>
    <row r="467" spans="1:4">
      <c r="A467" s="47" t="s">
        <v>157</v>
      </c>
      <c r="B467" s="48" t="s">
        <v>196</v>
      </c>
      <c r="C467" s="49">
        <v>7234.7214000000004</v>
      </c>
      <c r="D467" s="50" t="str">
        <f t="shared" si="7"/>
        <v>L41P8</v>
      </c>
    </row>
    <row r="468" spans="1:4">
      <c r="A468" s="47" t="s">
        <v>158</v>
      </c>
      <c r="B468" s="48" t="s">
        <v>196</v>
      </c>
      <c r="C468" s="49">
        <v>7253.9413000000004</v>
      </c>
      <c r="D468" s="50" t="str">
        <f t="shared" si="7"/>
        <v>L40P8</v>
      </c>
    </row>
    <row r="469" spans="1:4">
      <c r="A469" s="47" t="s">
        <v>159</v>
      </c>
      <c r="B469" s="48" t="s">
        <v>196</v>
      </c>
      <c r="C469" s="49">
        <v>7307.7862999999998</v>
      </c>
      <c r="D469" s="50" t="str">
        <f t="shared" si="7"/>
        <v>L39P8</v>
      </c>
    </row>
    <row r="470" spans="1:4">
      <c r="A470" s="47" t="s">
        <v>19</v>
      </c>
      <c r="B470" s="48" t="s">
        <v>196</v>
      </c>
      <c r="C470" s="49">
        <v>7394.2840999999999</v>
      </c>
      <c r="D470" s="50" t="str">
        <f t="shared" si="7"/>
        <v>L38P8</v>
      </c>
    </row>
    <row r="471" spans="1:4">
      <c r="A471" s="47" t="s">
        <v>160</v>
      </c>
      <c r="B471" s="48" t="s">
        <v>196</v>
      </c>
      <c r="C471" s="49">
        <v>7510.69</v>
      </c>
      <c r="D471" s="50" t="str">
        <f t="shared" si="7"/>
        <v>L37P8</v>
      </c>
    </row>
    <row r="472" spans="1:4">
      <c r="A472" s="47" t="s">
        <v>161</v>
      </c>
      <c r="B472" s="48" t="s">
        <v>196</v>
      </c>
      <c r="C472" s="49">
        <v>7660.1482999999998</v>
      </c>
      <c r="D472" s="50" t="str">
        <f t="shared" si="7"/>
        <v>L36P8</v>
      </c>
    </row>
    <row r="473" spans="1:4">
      <c r="A473" s="47" t="s">
        <v>162</v>
      </c>
      <c r="B473" s="48" t="s">
        <v>196</v>
      </c>
      <c r="C473" s="49">
        <v>7850.1207999999997</v>
      </c>
      <c r="D473" s="50" t="str">
        <f t="shared" si="7"/>
        <v>L35P8</v>
      </c>
    </row>
    <row r="474" spans="1:4">
      <c r="A474" s="47" t="s">
        <v>18</v>
      </c>
      <c r="B474" s="48" t="s">
        <v>196</v>
      </c>
      <c r="C474" s="49">
        <v>8071.3186999999998</v>
      </c>
      <c r="D474" s="50" t="str">
        <f t="shared" si="7"/>
        <v>L34P8</v>
      </c>
    </row>
    <row r="475" spans="1:4">
      <c r="A475" s="47" t="s">
        <v>163</v>
      </c>
      <c r="B475" s="48" t="s">
        <v>196</v>
      </c>
      <c r="C475" s="49">
        <v>8254.3731000000007</v>
      </c>
      <c r="D475" s="50" t="str">
        <f t="shared" si="7"/>
        <v>L33P8</v>
      </c>
    </row>
    <row r="476" spans="1:4">
      <c r="A476" s="47" t="s">
        <v>164</v>
      </c>
      <c r="B476" s="48" t="s">
        <v>196</v>
      </c>
      <c r="C476" s="49">
        <v>8225.1913999999997</v>
      </c>
      <c r="D476" s="50" t="str">
        <f t="shared" si="7"/>
        <v>L32P8</v>
      </c>
    </row>
    <row r="477" spans="1:4">
      <c r="A477" s="47" t="s">
        <v>165</v>
      </c>
      <c r="B477" s="48" t="s">
        <v>196</v>
      </c>
      <c r="C477" s="49">
        <v>7516.1579000000002</v>
      </c>
      <c r="D477" s="50" t="str">
        <f t="shared" si="7"/>
        <v>L31P8</v>
      </c>
    </row>
    <row r="478" spans="1:4">
      <c r="A478" s="47" t="s">
        <v>17</v>
      </c>
      <c r="B478" s="48" t="s">
        <v>196</v>
      </c>
      <c r="C478" s="49">
        <v>6818.9161000000004</v>
      </c>
      <c r="D478" s="50" t="str">
        <f t="shared" si="7"/>
        <v>L30P8</v>
      </c>
    </row>
    <row r="479" spans="1:4">
      <c r="A479" s="47" t="s">
        <v>166</v>
      </c>
      <c r="B479" s="48" t="s">
        <v>196</v>
      </c>
      <c r="C479" s="49">
        <v>6665.6603999999998</v>
      </c>
      <c r="D479" s="50" t="str">
        <f t="shared" si="7"/>
        <v>L29P8</v>
      </c>
    </row>
    <row r="480" spans="1:4">
      <c r="A480" s="47" t="s">
        <v>167</v>
      </c>
      <c r="B480" s="48" t="s">
        <v>196</v>
      </c>
      <c r="C480" s="49">
        <v>6693.4580999999998</v>
      </c>
      <c r="D480" s="50" t="str">
        <f t="shared" si="7"/>
        <v>L28P8</v>
      </c>
    </row>
    <row r="481" spans="1:4">
      <c r="A481" s="47" t="s">
        <v>168</v>
      </c>
      <c r="B481" s="48" t="s">
        <v>196</v>
      </c>
      <c r="C481" s="49">
        <v>6759.0382</v>
      </c>
      <c r="D481" s="50" t="str">
        <f t="shared" si="7"/>
        <v>L27P8</v>
      </c>
    </row>
    <row r="482" spans="1:4">
      <c r="A482" s="47" t="s">
        <v>169</v>
      </c>
      <c r="B482" s="48" t="s">
        <v>196</v>
      </c>
      <c r="C482" s="49">
        <v>6807.5501000000004</v>
      </c>
      <c r="D482" s="50" t="str">
        <f t="shared" si="7"/>
        <v>L26P8</v>
      </c>
    </row>
    <row r="483" spans="1:4">
      <c r="A483" s="47" t="s">
        <v>16</v>
      </c>
      <c r="B483" s="48" t="s">
        <v>196</v>
      </c>
      <c r="C483" s="49">
        <v>6836.7851000000001</v>
      </c>
      <c r="D483" s="50" t="str">
        <f t="shared" si="7"/>
        <v>L25P8</v>
      </c>
    </row>
    <row r="484" spans="1:4">
      <c r="A484" s="47" t="s">
        <v>170</v>
      </c>
      <c r="B484" s="48" t="s">
        <v>196</v>
      </c>
      <c r="C484" s="49">
        <v>6865.9126999999999</v>
      </c>
      <c r="D484" s="50" t="str">
        <f t="shared" si="7"/>
        <v>L24P8</v>
      </c>
    </row>
    <row r="485" spans="1:4">
      <c r="A485" s="47" t="s">
        <v>171</v>
      </c>
      <c r="B485" s="48" t="s">
        <v>196</v>
      </c>
      <c r="C485" s="49">
        <v>6913.8779999999997</v>
      </c>
      <c r="D485" s="50" t="str">
        <f t="shared" si="7"/>
        <v>L23P8</v>
      </c>
    </row>
    <row r="486" spans="1:4">
      <c r="A486" s="47" t="s">
        <v>172</v>
      </c>
      <c r="B486" s="48" t="s">
        <v>196</v>
      </c>
      <c r="C486" s="49">
        <v>6992.7361000000001</v>
      </c>
      <c r="D486" s="50" t="str">
        <f t="shared" si="7"/>
        <v>L22P8</v>
      </c>
    </row>
    <row r="487" spans="1:4">
      <c r="A487" s="47" t="s">
        <v>15</v>
      </c>
      <c r="B487" s="48" t="s">
        <v>196</v>
      </c>
      <c r="C487" s="49">
        <v>7106.1219000000001</v>
      </c>
      <c r="D487" s="50" t="str">
        <f t="shared" si="7"/>
        <v>L21P8</v>
      </c>
    </row>
    <row r="488" spans="1:4">
      <c r="A488" s="47" t="s">
        <v>173</v>
      </c>
      <c r="B488" s="48" t="s">
        <v>196</v>
      </c>
      <c r="C488" s="49">
        <v>7251.2419</v>
      </c>
      <c r="D488" s="50" t="str">
        <f t="shared" si="7"/>
        <v>L20P8</v>
      </c>
    </row>
    <row r="489" spans="1:4">
      <c r="A489" s="47" t="s">
        <v>174</v>
      </c>
      <c r="B489" s="48" t="s">
        <v>196</v>
      </c>
      <c r="C489" s="49">
        <v>7421.3770000000004</v>
      </c>
      <c r="D489" s="50" t="str">
        <f t="shared" si="7"/>
        <v>L19P8</v>
      </c>
    </row>
    <row r="490" spans="1:4">
      <c r="A490" s="47" t="s">
        <v>175</v>
      </c>
      <c r="B490" s="48" t="s">
        <v>196</v>
      </c>
      <c r="C490" s="49">
        <v>7607.7390999999998</v>
      </c>
      <c r="D490" s="50" t="str">
        <f t="shared" si="7"/>
        <v>L18P8</v>
      </c>
    </row>
    <row r="491" spans="1:4">
      <c r="A491" s="47" t="s">
        <v>14</v>
      </c>
      <c r="B491" s="48" t="s">
        <v>196</v>
      </c>
      <c r="C491" s="49">
        <v>7800.7719999999999</v>
      </c>
      <c r="D491" s="50" t="str">
        <f t="shared" si="7"/>
        <v>L17P8</v>
      </c>
    </row>
    <row r="492" spans="1:4">
      <c r="A492" s="47" t="s">
        <v>176</v>
      </c>
      <c r="B492" s="48" t="s">
        <v>196</v>
      </c>
      <c r="C492" s="49">
        <v>7991.1531999999997</v>
      </c>
      <c r="D492" s="50" t="str">
        <f t="shared" si="7"/>
        <v>L16P8</v>
      </c>
    </row>
    <row r="493" spans="1:4">
      <c r="A493" s="47" t="s">
        <v>177</v>
      </c>
      <c r="B493" s="48" t="s">
        <v>196</v>
      </c>
      <c r="C493" s="49">
        <v>8170.6215000000002</v>
      </c>
      <c r="D493" s="50" t="str">
        <f t="shared" si="7"/>
        <v>L15P8</v>
      </c>
    </row>
    <row r="494" spans="1:4">
      <c r="A494" s="47" t="s">
        <v>178</v>
      </c>
      <c r="B494" s="48" t="s">
        <v>196</v>
      </c>
      <c r="C494" s="49">
        <v>8332.6933000000008</v>
      </c>
      <c r="D494" s="50" t="str">
        <f t="shared" si="7"/>
        <v>L14P8</v>
      </c>
    </row>
    <row r="495" spans="1:4">
      <c r="A495" s="47" t="s">
        <v>13</v>
      </c>
      <c r="B495" s="48" t="s">
        <v>196</v>
      </c>
      <c r="C495" s="49">
        <v>8473.3127000000004</v>
      </c>
      <c r="D495" s="50" t="str">
        <f t="shared" si="7"/>
        <v>L13P8</v>
      </c>
    </row>
    <row r="496" spans="1:4">
      <c r="A496" s="47" t="s">
        <v>179</v>
      </c>
      <c r="B496" s="48" t="s">
        <v>196</v>
      </c>
      <c r="C496" s="49">
        <v>8591.1098999999995</v>
      </c>
      <c r="D496" s="50" t="str">
        <f t="shared" si="7"/>
        <v>L12P8</v>
      </c>
    </row>
    <row r="497" spans="1:4">
      <c r="A497" s="47" t="s">
        <v>180</v>
      </c>
      <c r="B497" s="48" t="s">
        <v>196</v>
      </c>
      <c r="C497" s="49">
        <v>8686.8781999999992</v>
      </c>
      <c r="D497" s="50" t="str">
        <f t="shared" si="7"/>
        <v>L11P8</v>
      </c>
    </row>
    <row r="498" spans="1:4">
      <c r="A498" s="47" t="s">
        <v>181</v>
      </c>
      <c r="B498" s="48" t="s">
        <v>196</v>
      </c>
      <c r="C498" s="49">
        <v>8762.0812999999998</v>
      </c>
      <c r="D498" s="50" t="str">
        <f t="shared" si="7"/>
        <v>L10P8</v>
      </c>
    </row>
    <row r="499" spans="1:4">
      <c r="A499" s="47" t="s">
        <v>12</v>
      </c>
      <c r="B499" s="48" t="s">
        <v>196</v>
      </c>
      <c r="C499" s="49">
        <v>8816.3168000000005</v>
      </c>
      <c r="D499" s="50" t="str">
        <f t="shared" si="7"/>
        <v>L9P8</v>
      </c>
    </row>
    <row r="500" spans="1:4">
      <c r="A500" s="47" t="s">
        <v>182</v>
      </c>
      <c r="B500" s="48" t="s">
        <v>196</v>
      </c>
      <c r="C500" s="49">
        <v>8852.8091999999997</v>
      </c>
      <c r="D500" s="50" t="str">
        <f t="shared" si="7"/>
        <v>L8P8</v>
      </c>
    </row>
    <row r="501" spans="1:4">
      <c r="A501" s="47" t="s">
        <v>183</v>
      </c>
      <c r="B501" s="48" t="s">
        <v>196</v>
      </c>
      <c r="C501" s="49">
        <v>8880.0751</v>
      </c>
      <c r="D501" s="50" t="str">
        <f t="shared" si="7"/>
        <v>L7P8</v>
      </c>
    </row>
    <row r="502" spans="1:4">
      <c r="A502" s="47" t="s">
        <v>184</v>
      </c>
      <c r="B502" s="48" t="s">
        <v>196</v>
      </c>
      <c r="C502" s="49">
        <v>8932.0931</v>
      </c>
      <c r="D502" s="50" t="str">
        <f t="shared" si="7"/>
        <v>L6P8</v>
      </c>
    </row>
    <row r="503" spans="1:4">
      <c r="A503" s="47" t="s">
        <v>11</v>
      </c>
      <c r="B503" s="48" t="s">
        <v>196</v>
      </c>
      <c r="C503" s="49">
        <v>8856.0755000000008</v>
      </c>
      <c r="D503" s="50" t="str">
        <f t="shared" si="7"/>
        <v>L5P8</v>
      </c>
    </row>
    <row r="504" spans="1:4">
      <c r="A504" s="47" t="s">
        <v>185</v>
      </c>
      <c r="B504" s="48" t="s">
        <v>196</v>
      </c>
      <c r="C504" s="49">
        <v>8698.3606</v>
      </c>
      <c r="D504" s="50" t="str">
        <f t="shared" si="7"/>
        <v>L4P8</v>
      </c>
    </row>
    <row r="505" spans="1:4">
      <c r="A505" s="47" t="s">
        <v>186</v>
      </c>
      <c r="B505" s="48" t="s">
        <v>196</v>
      </c>
      <c r="C505" s="49">
        <v>8939.5206999999991</v>
      </c>
      <c r="D505" s="50" t="str">
        <f t="shared" si="7"/>
        <v>L3P8</v>
      </c>
    </row>
    <row r="506" spans="1:4">
      <c r="A506" s="47" t="s">
        <v>187</v>
      </c>
      <c r="B506" s="48" t="s">
        <v>196</v>
      </c>
      <c r="C506" s="49">
        <v>9032.2253000000001</v>
      </c>
      <c r="D506" s="50" t="str">
        <f t="shared" si="7"/>
        <v>ROOF (GARDEN VILLA)P8</v>
      </c>
    </row>
    <row r="507" spans="1:4">
      <c r="A507" s="47" t="s">
        <v>188</v>
      </c>
      <c r="B507" s="48" t="s">
        <v>196</v>
      </c>
      <c r="C507" s="49">
        <v>9256.3312000000005</v>
      </c>
      <c r="D507" s="50" t="str">
        <f t="shared" si="7"/>
        <v>L2 (TOWER)P8</v>
      </c>
    </row>
    <row r="508" spans="1:4">
      <c r="A508" s="47" t="s">
        <v>189</v>
      </c>
      <c r="B508" s="48" t="s">
        <v>196</v>
      </c>
      <c r="C508" s="49">
        <v>9089.0722000000005</v>
      </c>
      <c r="D508" s="50" t="str">
        <f t="shared" si="7"/>
        <v>L2 (GARDEN VILLA)P8</v>
      </c>
    </row>
    <row r="509" spans="1:4">
      <c r="A509" s="47" t="s">
        <v>10</v>
      </c>
      <c r="B509" s="48" t="s">
        <v>196</v>
      </c>
      <c r="C509" s="49">
        <v>10688.459000000001</v>
      </c>
      <c r="D509" s="50" t="str">
        <f t="shared" si="7"/>
        <v>L1P8</v>
      </c>
    </row>
    <row r="510" spans="1:4">
      <c r="A510" s="47" t="s">
        <v>9</v>
      </c>
      <c r="B510" s="48" t="s">
        <v>196</v>
      </c>
      <c r="C510" s="49">
        <v>12442.8073</v>
      </c>
      <c r="D510" s="50" t="str">
        <f t="shared" si="7"/>
        <v>LGP8</v>
      </c>
    </row>
    <row r="511" spans="1:4">
      <c r="A511" s="47" t="s">
        <v>8</v>
      </c>
      <c r="B511" s="48" t="s">
        <v>196</v>
      </c>
      <c r="C511" s="49">
        <v>14329.8266</v>
      </c>
      <c r="D511" s="50" t="str">
        <f t="shared" si="7"/>
        <v>B1P8</v>
      </c>
    </row>
    <row r="512" spans="1:4">
      <c r="A512" s="47" t="s">
        <v>23</v>
      </c>
      <c r="B512" s="48" t="s">
        <v>197</v>
      </c>
      <c r="C512" s="49">
        <v>2297.2914999999998</v>
      </c>
      <c r="D512" s="50" t="str">
        <f t="shared" si="7"/>
        <v>ROOF OVER MCRMP9</v>
      </c>
    </row>
    <row r="513" spans="1:4">
      <c r="A513" s="47" t="s">
        <v>149</v>
      </c>
      <c r="B513" s="48" t="s">
        <v>197</v>
      </c>
      <c r="C513" s="49">
        <v>13695.627399999999</v>
      </c>
      <c r="D513" s="50" t="str">
        <f t="shared" si="7"/>
        <v>MCRMP9</v>
      </c>
    </row>
    <row r="514" spans="1:4">
      <c r="A514" s="47" t="s">
        <v>150</v>
      </c>
      <c r="B514" s="48" t="s">
        <v>197</v>
      </c>
      <c r="C514" s="49">
        <v>20987.6152</v>
      </c>
      <c r="D514" s="50" t="str">
        <f t="shared" si="7"/>
        <v>RDP9</v>
      </c>
    </row>
    <row r="515" spans="1:4">
      <c r="A515" s="47" t="s">
        <v>22</v>
      </c>
      <c r="B515" s="48" t="s">
        <v>197</v>
      </c>
      <c r="C515" s="49">
        <v>24839.111400000002</v>
      </c>
      <c r="D515" s="50" t="str">
        <f t="shared" si="7"/>
        <v>L50P9</v>
      </c>
    </row>
    <row r="516" spans="1:4">
      <c r="A516" s="47" t="s">
        <v>151</v>
      </c>
      <c r="B516" s="48" t="s">
        <v>197</v>
      </c>
      <c r="C516" s="49">
        <v>27761.9071</v>
      </c>
      <c r="D516" s="50" t="str">
        <f t="shared" ref="D516:D568" si="8">CONCATENATE(A516,B516)</f>
        <v>L49P9</v>
      </c>
    </row>
    <row r="517" spans="1:4">
      <c r="A517" s="47" t="s">
        <v>152</v>
      </c>
      <c r="B517" s="48" t="s">
        <v>197</v>
      </c>
      <c r="C517" s="49">
        <v>29931.097399999999</v>
      </c>
      <c r="D517" s="50" t="str">
        <f t="shared" si="8"/>
        <v>L48P9</v>
      </c>
    </row>
    <row r="518" spans="1:4">
      <c r="A518" s="47" t="s">
        <v>153</v>
      </c>
      <c r="B518" s="48" t="s">
        <v>197</v>
      </c>
      <c r="C518" s="49">
        <v>31458.105200000002</v>
      </c>
      <c r="D518" s="50" t="str">
        <f t="shared" si="8"/>
        <v>L47P9</v>
      </c>
    </row>
    <row r="519" spans="1:4">
      <c r="A519" s="47" t="s">
        <v>21</v>
      </c>
      <c r="B519" s="48" t="s">
        <v>197</v>
      </c>
      <c r="C519" s="49">
        <v>32359.2114</v>
      </c>
      <c r="D519" s="50" t="str">
        <f t="shared" si="8"/>
        <v>L46P9</v>
      </c>
    </row>
    <row r="520" spans="1:4">
      <c r="A520" s="47" t="s">
        <v>154</v>
      </c>
      <c r="B520" s="48" t="s">
        <v>197</v>
      </c>
      <c r="C520" s="49">
        <v>32712.5278</v>
      </c>
      <c r="D520" s="50" t="str">
        <f t="shared" si="8"/>
        <v>L45P9</v>
      </c>
    </row>
    <row r="521" spans="1:4">
      <c r="A521" s="47" t="s">
        <v>155</v>
      </c>
      <c r="B521" s="48" t="s">
        <v>197</v>
      </c>
      <c r="C521" s="49">
        <v>32618.232400000001</v>
      </c>
      <c r="D521" s="50" t="str">
        <f t="shared" si="8"/>
        <v>L44P9</v>
      </c>
    </row>
    <row r="522" spans="1:4">
      <c r="A522" s="47" t="s">
        <v>156</v>
      </c>
      <c r="B522" s="48" t="s">
        <v>197</v>
      </c>
      <c r="C522" s="49">
        <v>32206.782800000001</v>
      </c>
      <c r="D522" s="50" t="str">
        <f t="shared" si="8"/>
        <v>L43P9</v>
      </c>
    </row>
    <row r="523" spans="1:4">
      <c r="A523" s="47" t="s">
        <v>20</v>
      </c>
      <c r="B523" s="48" t="s">
        <v>197</v>
      </c>
      <c r="C523" s="49">
        <v>31618.492200000001</v>
      </c>
      <c r="D523" s="50" t="str">
        <f t="shared" si="8"/>
        <v>L42P9</v>
      </c>
    </row>
    <row r="524" spans="1:4">
      <c r="A524" s="47" t="s">
        <v>157</v>
      </c>
      <c r="B524" s="48" t="s">
        <v>197</v>
      </c>
      <c r="C524" s="49">
        <v>30995.394400000001</v>
      </c>
      <c r="D524" s="50" t="str">
        <f t="shared" si="8"/>
        <v>L41P9</v>
      </c>
    </row>
    <row r="525" spans="1:4">
      <c r="A525" s="47" t="s">
        <v>158</v>
      </c>
      <c r="B525" s="48" t="s">
        <v>197</v>
      </c>
      <c r="C525" s="49">
        <v>30465.054499999998</v>
      </c>
      <c r="D525" s="50" t="str">
        <f t="shared" si="8"/>
        <v>L40P9</v>
      </c>
    </row>
    <row r="526" spans="1:4">
      <c r="A526" s="47" t="s">
        <v>159</v>
      </c>
      <c r="B526" s="48" t="s">
        <v>197</v>
      </c>
      <c r="C526" s="49">
        <v>30122.7444</v>
      </c>
      <c r="D526" s="50" t="str">
        <f t="shared" si="8"/>
        <v>L39P9</v>
      </c>
    </row>
    <row r="527" spans="1:4">
      <c r="A527" s="47" t="s">
        <v>19</v>
      </c>
      <c r="B527" s="48" t="s">
        <v>197</v>
      </c>
      <c r="C527" s="49">
        <v>30011.849600000001</v>
      </c>
      <c r="D527" s="50" t="str">
        <f t="shared" si="8"/>
        <v>L38P9</v>
      </c>
    </row>
    <row r="528" spans="1:4">
      <c r="A528" s="47" t="s">
        <v>160</v>
      </c>
      <c r="B528" s="48" t="s">
        <v>197</v>
      </c>
      <c r="C528" s="49">
        <v>30114.2091</v>
      </c>
      <c r="D528" s="50" t="str">
        <f t="shared" si="8"/>
        <v>L37P9</v>
      </c>
    </row>
    <row r="529" spans="1:4">
      <c r="A529" s="47" t="s">
        <v>161</v>
      </c>
      <c r="B529" s="48" t="s">
        <v>197</v>
      </c>
      <c r="C529" s="49">
        <v>30356.143800000002</v>
      </c>
      <c r="D529" s="50" t="str">
        <f t="shared" si="8"/>
        <v>L36P9</v>
      </c>
    </row>
    <row r="530" spans="1:4">
      <c r="A530" s="47" t="s">
        <v>162</v>
      </c>
      <c r="B530" s="48" t="s">
        <v>197</v>
      </c>
      <c r="C530" s="49">
        <v>30630.7516</v>
      </c>
      <c r="D530" s="50" t="str">
        <f t="shared" si="8"/>
        <v>L35P9</v>
      </c>
    </row>
    <row r="531" spans="1:4">
      <c r="A531" s="47" t="s">
        <v>18</v>
      </c>
      <c r="B531" s="48" t="s">
        <v>197</v>
      </c>
      <c r="C531" s="49">
        <v>30823.8845</v>
      </c>
      <c r="D531" s="50" t="str">
        <f t="shared" si="8"/>
        <v>L34P9</v>
      </c>
    </row>
    <row r="532" spans="1:4">
      <c r="A532" s="47" t="s">
        <v>163</v>
      </c>
      <c r="B532" s="48" t="s">
        <v>197</v>
      </c>
      <c r="C532" s="49">
        <v>30844.480299999999</v>
      </c>
      <c r="D532" s="50" t="str">
        <f t="shared" si="8"/>
        <v>L33P9</v>
      </c>
    </row>
    <row r="533" spans="1:4">
      <c r="A533" s="47" t="s">
        <v>164</v>
      </c>
      <c r="B533" s="48" t="s">
        <v>197</v>
      </c>
      <c r="C533" s="49">
        <v>30656.0622</v>
      </c>
      <c r="D533" s="50" t="str">
        <f t="shared" si="8"/>
        <v>L32P9</v>
      </c>
    </row>
    <row r="534" spans="1:4">
      <c r="A534" s="47" t="s">
        <v>165</v>
      </c>
      <c r="B534" s="48" t="s">
        <v>197</v>
      </c>
      <c r="C534" s="49">
        <v>30311.448100000001</v>
      </c>
      <c r="D534" s="50" t="str">
        <f t="shared" si="8"/>
        <v>L31P9</v>
      </c>
    </row>
    <row r="535" spans="1:4">
      <c r="A535" s="47" t="s">
        <v>17</v>
      </c>
      <c r="B535" s="48" t="s">
        <v>197</v>
      </c>
      <c r="C535" s="49">
        <v>30084.825499999999</v>
      </c>
      <c r="D535" s="50" t="str">
        <f t="shared" si="8"/>
        <v>L30P9</v>
      </c>
    </row>
    <row r="536" spans="1:4">
      <c r="A536" s="47" t="s">
        <v>166</v>
      </c>
      <c r="B536" s="48" t="s">
        <v>197</v>
      </c>
      <c r="C536" s="49">
        <v>29575.146499999999</v>
      </c>
      <c r="D536" s="50" t="str">
        <f t="shared" si="8"/>
        <v>L29P9</v>
      </c>
    </row>
    <row r="537" spans="1:4">
      <c r="A537" s="47" t="s">
        <v>167</v>
      </c>
      <c r="B537" s="48" t="s">
        <v>197</v>
      </c>
      <c r="C537" s="49">
        <v>29139.0056</v>
      </c>
      <c r="D537" s="50" t="str">
        <f t="shared" si="8"/>
        <v>L28P9</v>
      </c>
    </row>
    <row r="538" spans="1:4">
      <c r="A538" s="47" t="s">
        <v>168</v>
      </c>
      <c r="B538" s="48" t="s">
        <v>197</v>
      </c>
      <c r="C538" s="49">
        <v>28893.264599999999</v>
      </c>
      <c r="D538" s="50" t="str">
        <f t="shared" si="8"/>
        <v>L27P9</v>
      </c>
    </row>
    <row r="539" spans="1:4">
      <c r="A539" s="47" t="s">
        <v>169</v>
      </c>
      <c r="B539" s="48" t="s">
        <v>197</v>
      </c>
      <c r="C539" s="49">
        <v>28917.1168</v>
      </c>
      <c r="D539" s="50" t="str">
        <f t="shared" si="8"/>
        <v>L26P9</v>
      </c>
    </row>
    <row r="540" spans="1:4">
      <c r="A540" s="47" t="s">
        <v>16</v>
      </c>
      <c r="B540" s="48" t="s">
        <v>197</v>
      </c>
      <c r="C540" s="49">
        <v>29239.811399999999</v>
      </c>
      <c r="D540" s="50" t="str">
        <f t="shared" si="8"/>
        <v>L25P9</v>
      </c>
    </row>
    <row r="541" spans="1:4">
      <c r="A541" s="47" t="s">
        <v>170</v>
      </c>
      <c r="B541" s="48" t="s">
        <v>197</v>
      </c>
      <c r="C541" s="49">
        <v>29851.000800000002</v>
      </c>
      <c r="D541" s="50" t="str">
        <f t="shared" si="8"/>
        <v>L24P9</v>
      </c>
    </row>
    <row r="542" spans="1:4">
      <c r="A542" s="47" t="s">
        <v>171</v>
      </c>
      <c r="B542" s="48" t="s">
        <v>197</v>
      </c>
      <c r="C542" s="49">
        <v>30711.4725</v>
      </c>
      <c r="D542" s="50" t="str">
        <f t="shared" si="8"/>
        <v>L23P9</v>
      </c>
    </row>
    <row r="543" spans="1:4">
      <c r="A543" s="47" t="s">
        <v>172</v>
      </c>
      <c r="B543" s="48" t="s">
        <v>197</v>
      </c>
      <c r="C543" s="49">
        <v>31769.341100000001</v>
      </c>
      <c r="D543" s="50" t="str">
        <f t="shared" si="8"/>
        <v>L22P9</v>
      </c>
    </row>
    <row r="544" spans="1:4">
      <c r="A544" s="47" t="s">
        <v>15</v>
      </c>
      <c r="B544" s="48" t="s">
        <v>197</v>
      </c>
      <c r="C544" s="49">
        <v>32974.1126</v>
      </c>
      <c r="D544" s="50" t="str">
        <f t="shared" si="8"/>
        <v>L21P9</v>
      </c>
    </row>
    <row r="545" spans="1:4">
      <c r="A545" s="47" t="s">
        <v>173</v>
      </c>
      <c r="B545" s="48" t="s">
        <v>197</v>
      </c>
      <c r="C545" s="49">
        <v>34285.260300000002</v>
      </c>
      <c r="D545" s="50" t="str">
        <f t="shared" si="8"/>
        <v>L20P9</v>
      </c>
    </row>
    <row r="546" spans="1:4">
      <c r="A546" s="47" t="s">
        <v>174</v>
      </c>
      <c r="B546" s="48" t="s">
        <v>197</v>
      </c>
      <c r="C546" s="49">
        <v>35674.607900000003</v>
      </c>
      <c r="D546" s="50" t="str">
        <f t="shared" si="8"/>
        <v>L19P9</v>
      </c>
    </row>
    <row r="547" spans="1:4">
      <c r="A547" s="47" t="s">
        <v>175</v>
      </c>
      <c r="B547" s="48" t="s">
        <v>197</v>
      </c>
      <c r="C547" s="49">
        <v>37123.112399999998</v>
      </c>
      <c r="D547" s="50" t="str">
        <f t="shared" si="8"/>
        <v>L18P9</v>
      </c>
    </row>
    <row r="548" spans="1:4">
      <c r="A548" s="47" t="s">
        <v>14</v>
      </c>
      <c r="B548" s="48" t="s">
        <v>197</v>
      </c>
      <c r="C548" s="49">
        <v>38614.627200000003</v>
      </c>
      <c r="D548" s="50" t="str">
        <f t="shared" si="8"/>
        <v>L17P9</v>
      </c>
    </row>
    <row r="549" spans="1:4">
      <c r="A549" s="47" t="s">
        <v>176</v>
      </c>
      <c r="B549" s="48" t="s">
        <v>197</v>
      </c>
      <c r="C549" s="49">
        <v>40130.916799999999</v>
      </c>
      <c r="D549" s="50" t="str">
        <f t="shared" si="8"/>
        <v>L16P9</v>
      </c>
    </row>
    <row r="550" spans="1:4">
      <c r="A550" s="47" t="s">
        <v>177</v>
      </c>
      <c r="B550" s="48" t="s">
        <v>197</v>
      </c>
      <c r="C550" s="49">
        <v>41652.0942</v>
      </c>
      <c r="D550" s="50" t="str">
        <f t="shared" si="8"/>
        <v>L15P9</v>
      </c>
    </row>
    <row r="551" spans="1:4">
      <c r="A551" s="47" t="s">
        <v>178</v>
      </c>
      <c r="B551" s="48" t="s">
        <v>197</v>
      </c>
      <c r="C551" s="49">
        <v>43161.291299999997</v>
      </c>
      <c r="D551" s="50" t="str">
        <f t="shared" si="8"/>
        <v>L14P9</v>
      </c>
    </row>
    <row r="552" spans="1:4">
      <c r="A552" s="47" t="s">
        <v>13</v>
      </c>
      <c r="B552" s="48" t="s">
        <v>197</v>
      </c>
      <c r="C552" s="49">
        <v>44651.313199999997</v>
      </c>
      <c r="D552" s="50" t="str">
        <f t="shared" si="8"/>
        <v>L13P9</v>
      </c>
    </row>
    <row r="553" spans="1:4">
      <c r="A553" s="47" t="s">
        <v>179</v>
      </c>
      <c r="B553" s="48" t="s">
        <v>197</v>
      </c>
      <c r="C553" s="49">
        <v>46127.1152</v>
      </c>
      <c r="D553" s="50" t="str">
        <f t="shared" si="8"/>
        <v>L12P9</v>
      </c>
    </row>
    <row r="554" spans="1:4">
      <c r="A554" s="47" t="s">
        <v>180</v>
      </c>
      <c r="B554" s="48" t="s">
        <v>197</v>
      </c>
      <c r="C554" s="49">
        <v>47610.508699999998</v>
      </c>
      <c r="D554" s="50" t="str">
        <f t="shared" si="8"/>
        <v>L11P9</v>
      </c>
    </row>
    <row r="555" spans="1:4">
      <c r="A555" s="47" t="s">
        <v>181</v>
      </c>
      <c r="B555" s="48" t="s">
        <v>197</v>
      </c>
      <c r="C555" s="49">
        <v>49130.676700000004</v>
      </c>
      <c r="D555" s="50" t="str">
        <f t="shared" si="8"/>
        <v>L10P9</v>
      </c>
    </row>
    <row r="556" spans="1:4">
      <c r="A556" s="47" t="s">
        <v>12</v>
      </c>
      <c r="B556" s="48" t="s">
        <v>197</v>
      </c>
      <c r="C556" s="49">
        <v>50745.953800000003</v>
      </c>
      <c r="D556" s="50" t="str">
        <f t="shared" si="8"/>
        <v>L9P9</v>
      </c>
    </row>
    <row r="557" spans="1:4">
      <c r="A557" s="47" t="s">
        <v>182</v>
      </c>
      <c r="B557" s="48" t="s">
        <v>197</v>
      </c>
      <c r="C557" s="49">
        <v>52499.707499999997</v>
      </c>
      <c r="D557" s="50" t="str">
        <f t="shared" si="8"/>
        <v>L8P9</v>
      </c>
    </row>
    <row r="558" spans="1:4">
      <c r="A558" s="47" t="s">
        <v>183</v>
      </c>
      <c r="B558" s="48" t="s">
        <v>197</v>
      </c>
      <c r="C558" s="49">
        <v>54571.523699999998</v>
      </c>
      <c r="D558" s="50" t="str">
        <f t="shared" si="8"/>
        <v>L7P9</v>
      </c>
    </row>
    <row r="559" spans="1:4">
      <c r="A559" s="47" t="s">
        <v>184</v>
      </c>
      <c r="B559" s="48" t="s">
        <v>197</v>
      </c>
      <c r="C559" s="49">
        <v>57173.284500000002</v>
      </c>
      <c r="D559" s="50" t="str">
        <f t="shared" si="8"/>
        <v>L6P9</v>
      </c>
    </row>
    <row r="560" spans="1:4">
      <c r="A560" s="47" t="s">
        <v>11</v>
      </c>
      <c r="B560" s="48" t="s">
        <v>197</v>
      </c>
      <c r="C560" s="49">
        <v>60388.9571</v>
      </c>
      <c r="D560" s="50" t="str">
        <f t="shared" si="8"/>
        <v>L5P9</v>
      </c>
    </row>
    <row r="561" spans="1:4">
      <c r="A561" s="47" t="s">
        <v>185</v>
      </c>
      <c r="B561" s="48" t="s">
        <v>197</v>
      </c>
      <c r="C561" s="49">
        <v>64771.632299999997</v>
      </c>
      <c r="D561" s="50" t="str">
        <f t="shared" si="8"/>
        <v>L4P9</v>
      </c>
    </row>
    <row r="562" spans="1:4">
      <c r="A562" s="47" t="s">
        <v>186</v>
      </c>
      <c r="B562" s="48" t="s">
        <v>197</v>
      </c>
      <c r="C562" s="49">
        <v>69304.986799999999</v>
      </c>
      <c r="D562" s="50" t="str">
        <f t="shared" si="8"/>
        <v>L3P9</v>
      </c>
    </row>
    <row r="563" spans="1:4">
      <c r="A563" s="47" t="s">
        <v>187</v>
      </c>
      <c r="B563" s="48" t="s">
        <v>197</v>
      </c>
      <c r="C563" s="49">
        <v>69926.479600000006</v>
      </c>
      <c r="D563" s="50" t="str">
        <f t="shared" si="8"/>
        <v>ROOF (GARDEN VILLA)P9</v>
      </c>
    </row>
    <row r="564" spans="1:4">
      <c r="A564" s="47" t="s">
        <v>188</v>
      </c>
      <c r="B564" s="48" t="s">
        <v>197</v>
      </c>
      <c r="C564" s="49">
        <v>77080.240900000004</v>
      </c>
      <c r="D564" s="50" t="str">
        <f t="shared" si="8"/>
        <v>L2 (TOWER)P9</v>
      </c>
    </row>
    <row r="565" spans="1:4">
      <c r="A565" s="47" t="s">
        <v>189</v>
      </c>
      <c r="B565" s="48" t="s">
        <v>197</v>
      </c>
      <c r="C565" s="49">
        <v>78668.015400000004</v>
      </c>
      <c r="D565" s="50" t="str">
        <f t="shared" si="8"/>
        <v>L2 (GARDEN VILLA)P9</v>
      </c>
    </row>
    <row r="566" spans="1:4">
      <c r="A566" s="47" t="s">
        <v>10</v>
      </c>
      <c r="B566" s="48" t="s">
        <v>197</v>
      </c>
      <c r="C566" s="49">
        <v>83219.975000000006</v>
      </c>
      <c r="D566" s="50" t="str">
        <f t="shared" si="8"/>
        <v>L1P9</v>
      </c>
    </row>
    <row r="567" spans="1:4">
      <c r="A567" s="47" t="s">
        <v>9</v>
      </c>
      <c r="B567" s="48" t="s">
        <v>197</v>
      </c>
      <c r="C567" s="49">
        <v>84956.311199999996</v>
      </c>
      <c r="D567" s="50" t="str">
        <f t="shared" si="8"/>
        <v>LGP9</v>
      </c>
    </row>
    <row r="568" spans="1:4">
      <c r="A568" s="47" t="s">
        <v>8</v>
      </c>
      <c r="B568" s="48" t="s">
        <v>197</v>
      </c>
      <c r="C568" s="49">
        <v>84655.993600000002</v>
      </c>
      <c r="D568" s="50" t="str">
        <f t="shared" si="8"/>
        <v>B1P9</v>
      </c>
    </row>
  </sheetData>
  <autoFilter ref="A2:C568"/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0"/>
  <sheetViews>
    <sheetView workbookViewId="0">
      <selection activeCell="C7" sqref="C7"/>
    </sheetView>
  </sheetViews>
  <sheetFormatPr defaultRowHeight="15"/>
  <cols>
    <col min="1" max="1" width="16" customWidth="1"/>
    <col min="2" max="2" width="20" customWidth="1"/>
  </cols>
  <sheetData>
    <row r="1" spans="1:3">
      <c r="A1" s="52" t="s">
        <v>198</v>
      </c>
      <c r="B1" s="51"/>
    </row>
    <row r="2" spans="1:3">
      <c r="A2" s="54" t="s">
        <v>199</v>
      </c>
      <c r="B2" s="55" t="s">
        <v>200</v>
      </c>
      <c r="C2" t="s">
        <v>203</v>
      </c>
    </row>
    <row r="3" spans="1:3">
      <c r="A3" s="56" t="s">
        <v>201</v>
      </c>
      <c r="B3" s="57" t="s">
        <v>202</v>
      </c>
      <c r="C3" t="s">
        <v>204</v>
      </c>
    </row>
    <row r="4" spans="1:3">
      <c r="A4" s="53" t="s">
        <v>23</v>
      </c>
      <c r="B4" s="50">
        <v>3.5</v>
      </c>
      <c r="C4">
        <v>8</v>
      </c>
    </row>
    <row r="5" spans="1:3">
      <c r="A5" s="53" t="s">
        <v>149</v>
      </c>
      <c r="B5" s="50">
        <v>6.5</v>
      </c>
      <c r="C5" s="50">
        <v>8</v>
      </c>
    </row>
    <row r="6" spans="1:3">
      <c r="A6" s="53" t="s">
        <v>150</v>
      </c>
      <c r="B6" s="50">
        <v>3.9</v>
      </c>
      <c r="C6" s="50">
        <v>8</v>
      </c>
    </row>
    <row r="7" spans="1:3">
      <c r="A7" s="53" t="s">
        <v>22</v>
      </c>
      <c r="B7" s="50">
        <v>3.1</v>
      </c>
      <c r="C7" s="50">
        <v>8</v>
      </c>
    </row>
    <row r="8" spans="1:3">
      <c r="A8" s="53" t="s">
        <v>151</v>
      </c>
      <c r="B8" s="50">
        <v>3.1</v>
      </c>
      <c r="C8" s="50">
        <v>8</v>
      </c>
    </row>
    <row r="9" spans="1:3">
      <c r="A9" s="53" t="s">
        <v>152</v>
      </c>
      <c r="B9" s="50">
        <v>3.1</v>
      </c>
      <c r="C9" s="50">
        <v>8</v>
      </c>
    </row>
    <row r="10" spans="1:3">
      <c r="A10" s="53" t="s">
        <v>153</v>
      </c>
      <c r="B10" s="50">
        <v>3.1</v>
      </c>
      <c r="C10" s="50">
        <v>8</v>
      </c>
    </row>
    <row r="11" spans="1:3">
      <c r="A11" s="53" t="s">
        <v>21</v>
      </c>
      <c r="B11" s="50">
        <v>3.1</v>
      </c>
      <c r="C11" s="50">
        <v>8</v>
      </c>
    </row>
    <row r="12" spans="1:3">
      <c r="A12" s="53" t="s">
        <v>154</v>
      </c>
      <c r="B12" s="50">
        <v>3.1</v>
      </c>
      <c r="C12" s="50">
        <v>8</v>
      </c>
    </row>
    <row r="13" spans="1:3">
      <c r="A13" s="53" t="s">
        <v>155</v>
      </c>
      <c r="B13" s="50">
        <v>3.1</v>
      </c>
      <c r="C13" s="50">
        <v>8</v>
      </c>
    </row>
    <row r="14" spans="1:3">
      <c r="A14" s="53" t="s">
        <v>156</v>
      </c>
      <c r="B14" s="50">
        <v>3.1</v>
      </c>
      <c r="C14" s="50">
        <v>8</v>
      </c>
    </row>
    <row r="15" spans="1:3">
      <c r="A15" s="53" t="s">
        <v>20</v>
      </c>
      <c r="B15" s="50">
        <v>3.1</v>
      </c>
      <c r="C15" s="50">
        <v>8</v>
      </c>
    </row>
    <row r="16" spans="1:3">
      <c r="A16" s="53" t="s">
        <v>157</v>
      </c>
      <c r="B16" s="50">
        <v>3.1</v>
      </c>
      <c r="C16" s="50">
        <v>8</v>
      </c>
    </row>
    <row r="17" spans="1:3">
      <c r="A17" s="53" t="s">
        <v>158</v>
      </c>
      <c r="B17" s="50">
        <v>3.1</v>
      </c>
      <c r="C17" s="50">
        <v>8</v>
      </c>
    </row>
    <row r="18" spans="1:3">
      <c r="A18" s="53" t="s">
        <v>159</v>
      </c>
      <c r="B18" s="50">
        <v>3.1</v>
      </c>
      <c r="C18" s="50">
        <v>8</v>
      </c>
    </row>
    <row r="19" spans="1:3">
      <c r="A19" s="53" t="s">
        <v>19</v>
      </c>
      <c r="B19" s="50">
        <v>3.1</v>
      </c>
      <c r="C19" s="50">
        <v>8</v>
      </c>
    </row>
    <row r="20" spans="1:3">
      <c r="A20" s="53" t="s">
        <v>160</v>
      </c>
      <c r="B20" s="50">
        <v>3.1</v>
      </c>
      <c r="C20" s="50">
        <v>8</v>
      </c>
    </row>
    <row r="21" spans="1:3">
      <c r="A21" s="53" t="s">
        <v>161</v>
      </c>
      <c r="B21" s="50">
        <v>3.1</v>
      </c>
      <c r="C21" s="50">
        <v>8</v>
      </c>
    </row>
    <row r="22" spans="1:3">
      <c r="A22" s="53" t="s">
        <v>162</v>
      </c>
      <c r="B22" s="50">
        <v>3.1</v>
      </c>
      <c r="C22" s="50">
        <v>8</v>
      </c>
    </row>
    <row r="23" spans="1:3">
      <c r="A23" s="53" t="s">
        <v>18</v>
      </c>
      <c r="B23" s="50">
        <v>3.1</v>
      </c>
      <c r="C23" s="50">
        <v>8</v>
      </c>
    </row>
    <row r="24" spans="1:3">
      <c r="A24" s="53" t="s">
        <v>163</v>
      </c>
      <c r="B24" s="50">
        <v>3.1</v>
      </c>
      <c r="C24" s="50">
        <v>8</v>
      </c>
    </row>
    <row r="25" spans="1:3">
      <c r="A25" s="53" t="s">
        <v>164</v>
      </c>
      <c r="B25" s="50">
        <v>3.1</v>
      </c>
      <c r="C25" s="50">
        <v>8</v>
      </c>
    </row>
    <row r="26" spans="1:3">
      <c r="A26" s="53" t="s">
        <v>165</v>
      </c>
      <c r="B26" s="50">
        <v>3.1</v>
      </c>
      <c r="C26">
        <v>8</v>
      </c>
    </row>
    <row r="27" spans="1:3">
      <c r="A27" s="53" t="s">
        <v>17</v>
      </c>
      <c r="B27" s="50">
        <v>3.1</v>
      </c>
      <c r="C27">
        <v>10</v>
      </c>
    </row>
    <row r="28" spans="1:3">
      <c r="A28" s="53" t="s">
        <v>166</v>
      </c>
      <c r="B28" s="50">
        <v>3.1</v>
      </c>
      <c r="C28" s="50">
        <v>10</v>
      </c>
    </row>
    <row r="29" spans="1:3">
      <c r="A29" s="53" t="s">
        <v>167</v>
      </c>
      <c r="B29" s="50">
        <v>3.1</v>
      </c>
      <c r="C29" s="50">
        <v>10</v>
      </c>
    </row>
    <row r="30" spans="1:3">
      <c r="A30" s="53" t="s">
        <v>168</v>
      </c>
      <c r="B30" s="50">
        <v>3.1</v>
      </c>
      <c r="C30" s="50">
        <v>10</v>
      </c>
    </row>
    <row r="31" spans="1:3">
      <c r="A31" s="53" t="s">
        <v>169</v>
      </c>
      <c r="B31" s="50">
        <v>3.1</v>
      </c>
      <c r="C31" s="50">
        <v>10</v>
      </c>
    </row>
    <row r="32" spans="1:3">
      <c r="A32" s="53" t="s">
        <v>16</v>
      </c>
      <c r="B32" s="50">
        <v>3.1</v>
      </c>
      <c r="C32" s="50">
        <v>10</v>
      </c>
    </row>
    <row r="33" spans="1:3">
      <c r="A33" s="53" t="s">
        <v>170</v>
      </c>
      <c r="B33" s="50">
        <v>3.1</v>
      </c>
      <c r="C33" s="50">
        <v>10</v>
      </c>
    </row>
    <row r="34" spans="1:3">
      <c r="A34" s="53" t="s">
        <v>171</v>
      </c>
      <c r="B34" s="50">
        <v>3.1</v>
      </c>
      <c r="C34" s="50">
        <v>10</v>
      </c>
    </row>
    <row r="35" spans="1:3">
      <c r="A35" s="53" t="s">
        <v>172</v>
      </c>
      <c r="B35" s="50">
        <v>3.1</v>
      </c>
      <c r="C35" s="50">
        <v>10</v>
      </c>
    </row>
    <row r="36" spans="1:3">
      <c r="A36" s="53" t="s">
        <v>15</v>
      </c>
      <c r="B36" s="50">
        <v>3.1</v>
      </c>
      <c r="C36" s="50">
        <v>10</v>
      </c>
    </row>
    <row r="37" spans="1:3">
      <c r="A37" s="53" t="s">
        <v>173</v>
      </c>
      <c r="B37" s="50">
        <v>3.1</v>
      </c>
      <c r="C37" s="50">
        <v>10</v>
      </c>
    </row>
    <row r="38" spans="1:3">
      <c r="A38" s="53" t="s">
        <v>174</v>
      </c>
      <c r="B38" s="50">
        <v>3.1</v>
      </c>
      <c r="C38" s="50">
        <v>10</v>
      </c>
    </row>
    <row r="39" spans="1:3">
      <c r="A39" s="53" t="s">
        <v>175</v>
      </c>
      <c r="B39" s="50">
        <v>3.1</v>
      </c>
      <c r="C39" s="50">
        <v>10</v>
      </c>
    </row>
    <row r="40" spans="1:3">
      <c r="A40" s="53" t="s">
        <v>14</v>
      </c>
      <c r="B40" s="50">
        <v>3.1</v>
      </c>
      <c r="C40" s="50">
        <v>10</v>
      </c>
    </row>
    <row r="41" spans="1:3">
      <c r="A41" s="53" t="s">
        <v>176</v>
      </c>
      <c r="B41" s="50">
        <v>3.1</v>
      </c>
      <c r="C41" s="50">
        <v>10</v>
      </c>
    </row>
    <row r="42" spans="1:3">
      <c r="A42" s="53" t="s">
        <v>177</v>
      </c>
      <c r="B42" s="50">
        <v>3.1</v>
      </c>
      <c r="C42" s="50">
        <v>10</v>
      </c>
    </row>
    <row r="43" spans="1:3">
      <c r="A43" s="53" t="s">
        <v>178</v>
      </c>
      <c r="B43" s="50">
        <v>3.1</v>
      </c>
      <c r="C43" s="50">
        <v>10</v>
      </c>
    </row>
    <row r="44" spans="1:3">
      <c r="A44" s="53" t="s">
        <v>13</v>
      </c>
      <c r="B44" s="50">
        <v>3.1</v>
      </c>
      <c r="C44" s="50">
        <v>10</v>
      </c>
    </row>
    <row r="45" spans="1:3">
      <c r="A45" s="53" t="s">
        <v>179</v>
      </c>
      <c r="B45" s="50">
        <v>3.1</v>
      </c>
      <c r="C45" s="50">
        <v>10</v>
      </c>
    </row>
    <row r="46" spans="1:3">
      <c r="A46" s="53" t="s">
        <v>180</v>
      </c>
      <c r="B46" s="50">
        <v>3.1</v>
      </c>
      <c r="C46" s="50">
        <v>10</v>
      </c>
    </row>
    <row r="47" spans="1:3">
      <c r="A47" s="53" t="s">
        <v>181</v>
      </c>
      <c r="B47" s="50">
        <v>3.1</v>
      </c>
      <c r="C47" s="50">
        <v>10</v>
      </c>
    </row>
    <row r="48" spans="1:3">
      <c r="A48" s="53" t="s">
        <v>12</v>
      </c>
      <c r="B48" s="50">
        <v>3.1</v>
      </c>
      <c r="C48" s="50">
        <v>10</v>
      </c>
    </row>
    <row r="49" spans="1:3">
      <c r="A49" s="53" t="s">
        <v>182</v>
      </c>
      <c r="B49" s="50">
        <v>3.1</v>
      </c>
      <c r="C49" s="50">
        <v>10</v>
      </c>
    </row>
    <row r="50" spans="1:3">
      <c r="A50" s="53" t="s">
        <v>183</v>
      </c>
      <c r="B50" s="50">
        <v>3.1</v>
      </c>
      <c r="C50" s="50">
        <v>10</v>
      </c>
    </row>
    <row r="51" spans="1:3">
      <c r="A51" s="53" t="s">
        <v>184</v>
      </c>
      <c r="B51" s="50">
        <v>3.1</v>
      </c>
      <c r="C51" s="50">
        <v>10</v>
      </c>
    </row>
    <row r="52" spans="1:3">
      <c r="A52" s="53" t="s">
        <v>11</v>
      </c>
      <c r="B52" s="50">
        <v>3.1</v>
      </c>
      <c r="C52" s="50">
        <v>10</v>
      </c>
    </row>
    <row r="53" spans="1:3">
      <c r="A53" s="53" t="s">
        <v>185</v>
      </c>
      <c r="B53" s="50">
        <v>3.1</v>
      </c>
      <c r="C53" s="50">
        <v>10</v>
      </c>
    </row>
    <row r="54" spans="1:3">
      <c r="A54" s="53" t="s">
        <v>186</v>
      </c>
      <c r="B54" s="50">
        <v>1.6</v>
      </c>
      <c r="C54" s="50">
        <v>10</v>
      </c>
    </row>
    <row r="55" spans="1:3">
      <c r="A55" s="53" t="s">
        <v>187</v>
      </c>
      <c r="B55" s="50">
        <v>1.5</v>
      </c>
      <c r="C55" s="50">
        <v>10</v>
      </c>
    </row>
    <row r="56" spans="1:3">
      <c r="A56" s="53" t="s">
        <v>188</v>
      </c>
      <c r="B56" s="50">
        <v>2</v>
      </c>
      <c r="C56" s="50">
        <v>10</v>
      </c>
    </row>
    <row r="57" spans="1:3">
      <c r="A57" s="53" t="s">
        <v>189</v>
      </c>
      <c r="B57" s="50">
        <v>3.5</v>
      </c>
      <c r="C57" s="50">
        <v>10</v>
      </c>
    </row>
    <row r="58" spans="1:3">
      <c r="A58" s="53" t="s">
        <v>10</v>
      </c>
      <c r="B58" s="50">
        <v>5</v>
      </c>
      <c r="C58" s="50">
        <v>10</v>
      </c>
    </row>
    <row r="59" spans="1:3">
      <c r="A59" s="53" t="s">
        <v>9</v>
      </c>
      <c r="B59" s="50">
        <v>4</v>
      </c>
      <c r="C59" s="50">
        <v>10</v>
      </c>
    </row>
    <row r="60" spans="1:3">
      <c r="A60" s="53" t="s">
        <v>8</v>
      </c>
      <c r="B60" s="50">
        <v>3.2</v>
      </c>
      <c r="C60" s="50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SPREADSHEET</vt:lpstr>
      <vt:lpstr>SORTED SHEAR</vt:lpstr>
      <vt:lpstr>STORY DEFINITIONS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Melendres</dc:creator>
  <cp:lastModifiedBy>Windows User</cp:lastModifiedBy>
  <dcterms:created xsi:type="dcterms:W3CDTF">2023-02-06T07:30:51Z</dcterms:created>
  <dcterms:modified xsi:type="dcterms:W3CDTF">2023-03-05T08:41:09Z</dcterms:modified>
</cp:coreProperties>
</file>